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Channel Roadmap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Daily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;($#,##0);&quot;-&quot;"/>
    <numFmt numFmtId="166" formatCode="#,##0;(#,##0);&quot;-&quot;"/>
    <numFmt numFmtId="167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6100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FFC00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 wrapText="1"/>
    </xf>
    <xf numFmtId="167" fontId="8" fillId="2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165" fontId="9" fillId="6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167" fontId="5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8" customWidth="1" min="3" max="3"/>
    <col width="14" customWidth="1" min="4" max="4"/>
    <col width="14" customWidth="1" min="5" max="5"/>
  </cols>
  <sheetData>
    <row r="2" ht="30" customHeight="1">
      <c r="B2" s="1" t="inlineStr">
        <is>
          <t>EXECUTION PLAN V2 — $20k/month in 6 months</t>
        </is>
      </c>
    </row>
    <row r="3">
      <c r="B3" s="2" t="inlineStr">
        <is>
          <t>Day 1 = 2026-04-17   •   Day 180 = 2026-10-13</t>
        </is>
      </c>
    </row>
    <row r="5">
      <c r="B5" s="3" t="inlineStr">
        <is>
          <t>MISSION</t>
        </is>
      </c>
      <c r="C5" s="4" t="inlineStr">
        <is>
          <t>Build a 9-channel YouTube automation portfolio generating $20k/month net profit by Month 6 (Day 180).</t>
        </is>
      </c>
    </row>
    <row r="6">
      <c r="B6" s="3" t="inlineStr">
        <is>
          <t>STRATEGY</t>
        </is>
      </c>
      <c r="C6" s="4" t="inlineStr">
        <is>
          <t>Stack three verticals: (1) Reddit story narration — highest RPM, (2) character-reaction — existing infrastructure, (3) ambient passive income. Daily cadence on all flagship channels.</t>
        </is>
      </c>
    </row>
    <row r="7">
      <c r="B7" s="3" t="inlineStr">
        <is>
          <t>THE ONE BET</t>
        </is>
      </c>
      <c r="C7" s="4" t="inlineStr">
        <is>
          <t>Reddit Stories (Cashew) gets 50% of our attention and capital. It's the only vertical where peers at our scale earn $4k+/mo. Everything else is diversification.</t>
        </is>
      </c>
    </row>
    <row r="9">
      <c r="B9" s="5" t="inlineStr">
        <is>
          <t>TARGET KPIs</t>
        </is>
      </c>
      <c r="C9" s="6" t="n"/>
      <c r="D9" s="6" t="n"/>
      <c r="E9" s="7" t="n"/>
    </row>
    <row r="10">
      <c r="B10" s="8" t="inlineStr">
        <is>
          <t>Metric</t>
        </is>
      </c>
      <c r="C10" s="8" t="inlineStr">
        <is>
          <t>Today (Day 1)</t>
        </is>
      </c>
      <c r="D10" s="8" t="inlineStr">
        <is>
          <t>Month 3</t>
        </is>
      </c>
      <c r="E10" s="8" t="inlineStr">
        <is>
          <t>Month 6 Target</t>
        </is>
      </c>
    </row>
    <row r="11">
      <c r="B11" s="9" t="inlineStr">
        <is>
          <t>Channels live with daily output</t>
        </is>
      </c>
      <c r="C11" s="10" t="n">
        <v>0</v>
      </c>
      <c r="D11" s="10" t="n">
        <v>4</v>
      </c>
      <c r="E11" s="11" t="n">
        <v>9</v>
      </c>
    </row>
    <row r="12">
      <c r="B12" s="9" t="inlineStr">
        <is>
          <t>Total monthly views</t>
        </is>
      </c>
      <c r="C12" s="10" t="n">
        <v>0</v>
      </c>
      <c r="D12" s="10" t="n">
        <v>400000</v>
      </c>
      <c r="E12" s="11" t="n">
        <v>3900000</v>
      </c>
    </row>
    <row r="13">
      <c r="B13" s="9" t="inlineStr">
        <is>
          <t>Avg RPM blended</t>
        </is>
      </c>
      <c r="C13" s="10" t="inlineStr">
        <is>
          <t>$0</t>
        </is>
      </c>
      <c r="D13" s="10" t="inlineStr">
        <is>
          <t>$4.5</t>
        </is>
      </c>
      <c r="E13" s="11" t="inlineStr">
        <is>
          <t>$5.2</t>
        </is>
      </c>
    </row>
    <row r="14">
      <c r="B14" s="9" t="inlineStr">
        <is>
          <t>Monthly ad revenue</t>
        </is>
      </c>
      <c r="C14" s="10" t="inlineStr">
        <is>
          <t>$0</t>
        </is>
      </c>
      <c r="D14" s="10" t="inlineStr">
        <is>
          <t>$1,800</t>
        </is>
      </c>
      <c r="E14" s="11" t="inlineStr">
        <is>
          <t>$20,000</t>
        </is>
      </c>
    </row>
    <row r="15">
      <c r="B15" s="9" t="inlineStr">
        <is>
          <t>Subscribers (summed)</t>
        </is>
      </c>
      <c r="C15" s="10" t="n">
        <v>0</v>
      </c>
      <c r="D15" s="10" t="n">
        <v>40000</v>
      </c>
      <c r="E15" s="11" t="n">
        <v>280000</v>
      </c>
    </row>
    <row r="16">
      <c r="B16" s="9" t="inlineStr">
        <is>
          <t>Videos published per week</t>
        </is>
      </c>
      <c r="C16" s="10" t="n">
        <v>0</v>
      </c>
      <c r="D16" s="10" t="n">
        <v>14</v>
      </c>
      <c r="E16" s="11" t="n">
        <v>35</v>
      </c>
    </row>
    <row r="17">
      <c r="B17" s="9" t="inlineStr">
        <is>
          <t>Channels in YPP</t>
        </is>
      </c>
      <c r="C17" s="10" t="n">
        <v>0</v>
      </c>
      <c r="D17" s="10" t="n">
        <v>2</v>
      </c>
      <c r="E17" s="11" t="n">
        <v>7</v>
      </c>
    </row>
    <row r="18">
      <c r="B18" s="9" t="inlineStr">
        <is>
          <t>Monthly operating costs</t>
        </is>
      </c>
      <c r="C18" s="10" t="inlineStr">
        <is>
          <t>$20</t>
        </is>
      </c>
      <c r="D18" s="10" t="inlineStr">
        <is>
          <t>$65</t>
        </is>
      </c>
      <c r="E18" s="11" t="inlineStr">
        <is>
          <t>$180</t>
        </is>
      </c>
    </row>
    <row r="21">
      <c r="B21" s="5" t="inlineStr">
        <is>
          <t>THE 9-CHANNEL PORTFOLIO</t>
        </is>
      </c>
      <c r="C21" s="6" t="n"/>
      <c r="D21" s="6" t="n"/>
      <c r="E21" s="7" t="n"/>
    </row>
    <row r="22">
      <c r="B22" s="8" t="inlineStr">
        <is>
          <t>Channel</t>
        </is>
      </c>
      <c r="C22" s="8" t="inlineStr">
        <is>
          <t>Vertical</t>
        </is>
      </c>
      <c r="D22" s="8" t="inlineStr">
        <is>
          <t>Launch Day</t>
        </is>
      </c>
      <c r="E22" s="8" t="inlineStr">
        <is>
          <t>M6 Target</t>
        </is>
      </c>
    </row>
    <row r="23">
      <c r="B23" s="9" t="inlineStr">
        <is>
          <t>Reddit Stories (Cashew)</t>
        </is>
      </c>
      <c r="C23" s="12" t="inlineStr">
        <is>
          <t>Reddit / Long-form</t>
        </is>
      </c>
      <c r="D23" s="12" t="inlineStr">
        <is>
          <t>Day 5</t>
        </is>
      </c>
      <c r="E23" s="11" t="inlineStr">
        <is>
          <t>$4,200</t>
        </is>
      </c>
    </row>
    <row r="24">
      <c r="B24" s="13" t="inlineStr">
        <is>
          <t>Reddit Shorts</t>
        </is>
      </c>
      <c r="C24" s="10" t="inlineStr">
        <is>
          <t>Reddit / Shorts</t>
        </is>
      </c>
      <c r="D24" s="10" t="inlineStr">
        <is>
          <t>Day 20</t>
        </is>
      </c>
      <c r="E24" s="11" t="inlineStr">
        <is>
          <t>$900</t>
        </is>
      </c>
    </row>
    <row r="25">
      <c r="B25" s="9" t="inlineStr">
        <is>
          <t>Peanut Reacts (Sidemen)</t>
        </is>
      </c>
      <c r="C25" s="12" t="inlineStr">
        <is>
          <t>Reaction / Long-form</t>
        </is>
      </c>
      <c r="D25" s="12" t="inlineStr">
        <is>
          <t>Day 30</t>
        </is>
      </c>
      <c r="E25" s="11" t="inlineStr">
        <is>
          <t>$1,600</t>
        </is>
      </c>
    </row>
    <row r="26">
      <c r="B26" s="13" t="inlineStr">
        <is>
          <t>Peanut Reacts (KSI)</t>
        </is>
      </c>
      <c r="C26" s="10" t="inlineStr">
        <is>
          <t>Reaction / Long-form</t>
        </is>
      </c>
      <c r="D26" s="10" t="inlineStr">
        <is>
          <t>Day 60</t>
        </is>
      </c>
      <c r="E26" s="11" t="inlineStr">
        <is>
          <t>$1,600</t>
        </is>
      </c>
    </row>
    <row r="27">
      <c r="B27" s="9" t="inlineStr">
        <is>
          <t>Peanut TikTok Reacts</t>
        </is>
      </c>
      <c r="C27" s="12" t="inlineStr">
        <is>
          <t>Reaction / Shorts</t>
        </is>
      </c>
      <c r="D27" s="12" t="inlineStr">
        <is>
          <t>Day 45</t>
        </is>
      </c>
      <c r="E27" s="11" t="inlineStr">
        <is>
          <t>$1,200</t>
        </is>
      </c>
    </row>
    <row r="28">
      <c r="B28" s="13" t="inlineStr">
        <is>
          <t>HasanAbi Archive</t>
        </is>
      </c>
      <c r="C28" s="10" t="inlineStr">
        <is>
          <t>Commentary / Long-form</t>
        </is>
      </c>
      <c r="D28" s="10" t="inlineStr">
        <is>
          <t>Day 50</t>
        </is>
      </c>
      <c r="E28" s="11" t="inlineStr">
        <is>
          <t>$3,000</t>
        </is>
      </c>
    </row>
    <row r="29">
      <c r="B29" s="9" t="inlineStr">
        <is>
          <t>Reddit AITA (Pistachio)</t>
        </is>
      </c>
      <c r="C29" s="12" t="inlineStr">
        <is>
          <t>Reddit / Long-form</t>
        </is>
      </c>
      <c r="D29" s="12" t="inlineStr">
        <is>
          <t>Day 90</t>
        </is>
      </c>
      <c r="E29" s="11" t="inlineStr">
        <is>
          <t>$2,200</t>
        </is>
      </c>
    </row>
    <row r="30">
      <c r="B30" s="13" t="inlineStr">
        <is>
          <t>Cozy Ambient</t>
        </is>
      </c>
      <c r="C30" s="10" t="inlineStr">
        <is>
          <t>Ambient / Passive</t>
        </is>
      </c>
      <c r="D30" s="10" t="inlineStr">
        <is>
          <t>Day 75</t>
        </is>
      </c>
      <c r="E30" s="11" t="inlineStr">
        <is>
          <t>$1,600</t>
        </is>
      </c>
    </row>
    <row r="31">
      <c r="B31" s="9" t="inlineStr">
        <is>
          <t>Lofi Stream (24/7)</t>
        </is>
      </c>
      <c r="C31" s="12" t="inlineStr">
        <is>
          <t>Ambient / Live</t>
        </is>
      </c>
      <c r="D31" s="12" t="inlineStr">
        <is>
          <t>Day 100</t>
        </is>
      </c>
      <c r="E31" s="11" t="inlineStr">
        <is>
          <t>$800</t>
        </is>
      </c>
    </row>
    <row r="32">
      <c r="B32" s="14" t="inlineStr">
        <is>
          <t>PORTFOLIO TOTAL</t>
        </is>
      </c>
      <c r="C32" s="14" t="inlineStr"/>
      <c r="D32" s="14" t="inlineStr"/>
      <c r="E32" s="14" t="inlineStr">
        <is>
          <t>$17,100 ads + diversification</t>
        </is>
      </c>
    </row>
    <row r="34">
      <c r="B34" s="5" t="inlineStr">
        <is>
          <t>PHASE BREAKDOWN</t>
        </is>
      </c>
      <c r="C34" s="6" t="n"/>
      <c r="D34" s="6" t="n"/>
      <c r="E34" s="7" t="n"/>
    </row>
    <row r="35">
      <c r="B35" s="8" t="inlineStr">
        <is>
          <t>Phase</t>
        </is>
      </c>
      <c r="C35" s="8" t="inlineStr">
        <is>
          <t>Days</t>
        </is>
      </c>
      <c r="D35" s="8" t="inlineStr">
        <is>
          <t>Focus</t>
        </is>
      </c>
      <c r="E35" s="8" t="inlineStr">
        <is>
          <t>Exit criteria</t>
        </is>
      </c>
    </row>
    <row r="36">
      <c r="B36" s="9" t="inlineStr">
        <is>
          <t>1. Foundation</t>
        </is>
      </c>
      <c r="C36" s="10" t="inlineStr">
        <is>
          <t>1-14</t>
        </is>
      </c>
      <c r="D36" s="15" t="inlineStr">
        <is>
          <t>Unblock Reddit scraping, ship first Reddit video, thumbnail + bg library</t>
        </is>
      </c>
      <c r="E36" s="16" t="inlineStr">
        <is>
          <t>First Reddit video hits 1k views</t>
        </is>
      </c>
    </row>
    <row r="37">
      <c r="B37" s="9" t="inlineStr">
        <is>
          <t>2. First Channel Live</t>
        </is>
      </c>
      <c r="C37" s="10" t="inlineStr">
        <is>
          <t>15-28</t>
        </is>
      </c>
      <c r="D37" s="15" t="inlineStr">
        <is>
          <t>Daily Reddit uploads, A/B test titles/thumbs, tune for retention</t>
        </is>
      </c>
      <c r="E37" s="16" t="inlineStr">
        <is>
          <t>Reddit Stories hits YPP (1k subs, 4k hrs)</t>
        </is>
      </c>
    </row>
    <row r="38">
      <c r="B38" s="9" t="inlineStr">
        <is>
          <t>3. Production Scaling</t>
        </is>
      </c>
      <c r="C38" s="10" t="inlineStr">
        <is>
          <t>29-60</t>
        </is>
      </c>
      <c r="D38" s="15" t="inlineStr">
        <is>
          <t>Launch Peanut Sidemen + HasanAbi Archive, add Shorts extraction</t>
        </is>
      </c>
      <c r="E38" s="16" t="inlineStr">
        <is>
          <t>3 channels live, combined $500/mo</t>
        </is>
      </c>
    </row>
    <row r="39">
      <c r="B39" s="9" t="inlineStr">
        <is>
          <t>4. Portfolio Build</t>
        </is>
      </c>
      <c r="C39" s="10" t="inlineStr">
        <is>
          <t>61-90</t>
        </is>
      </c>
      <c r="D39" s="15" t="inlineStr">
        <is>
          <t>Launch KSI + TikTok Reacts + Cozy Ambient + Pistachio AITA</t>
        </is>
      </c>
      <c r="E39" s="16" t="inlineStr">
        <is>
          <t>7 channels live, combined $3k/mo</t>
        </is>
      </c>
    </row>
    <row r="40">
      <c r="B40" s="9" t="inlineStr">
        <is>
          <t>5. Scale</t>
        </is>
      </c>
      <c r="C40" s="10" t="inlineStr">
        <is>
          <t>91-120</t>
        </is>
      </c>
      <c r="D40" s="15" t="inlineStr">
        <is>
          <t>Optimize winners, kill losers, sponsorship outreach at 50k+</t>
        </is>
      </c>
      <c r="E40" s="16" t="inlineStr">
        <is>
          <t>At least 1 channel at 50k subs</t>
        </is>
      </c>
    </row>
    <row r="41">
      <c r="B41" s="9" t="inlineStr">
        <is>
          <t>6. Monetization Diversification</t>
        </is>
      </c>
      <c r="C41" s="10" t="inlineStr">
        <is>
          <t>121-150</t>
        </is>
      </c>
      <c r="D41" s="15" t="inlineStr">
        <is>
          <t>Patreon, memberships, affiliates, merch on top performers</t>
        </is>
      </c>
      <c r="E41" s="16" t="inlineStr">
        <is>
          <t>Non-AdSense revenue &gt;$3k/mo</t>
        </is>
      </c>
    </row>
    <row r="42">
      <c r="B42" s="9" t="inlineStr">
        <is>
          <t>7. Target Hit</t>
        </is>
      </c>
      <c r="C42" s="10" t="inlineStr">
        <is>
          <t>151-180</t>
        </is>
      </c>
      <c r="D42" s="15" t="inlineStr">
        <is>
          <t>Retention work, second wave of diversification, hiring if needed</t>
        </is>
      </c>
      <c r="E42" s="16" t="inlineStr">
        <is>
          <t>$20k/mo gross, $18k+ net</t>
        </is>
      </c>
    </row>
    <row r="45">
      <c r="B45" s="17" t="inlineStr">
        <is>
          <t>HONESTY CHECK</t>
        </is>
      </c>
      <c r="C45" s="6" t="n"/>
      <c r="D45" s="6" t="n"/>
      <c r="E45" s="7" t="n"/>
    </row>
    <row r="46">
      <c r="B46" s="18" t="inlineStr">
        <is>
          <t>• Most YouTube automation attempts fail. 10-15% hit $1k/mo, ~3% hit $10k/mo at 6 months.</t>
        </is>
      </c>
    </row>
    <row r="47">
      <c r="B47" s="18" t="inlineStr">
        <is>
          <t>• $20k/mo is an aggressive target. More realistic P50: $8-12k/mo at Day 180, $20k/mo at Day 270-300.</t>
        </is>
      </c>
    </row>
    <row r="48">
      <c r="B48" s="18" t="inlineStr">
        <is>
          <t>• This plan is conservative on RPM ($5.2 blended vs niche average $8-18) — there's upside if content lands.</t>
        </is>
      </c>
    </row>
    <row r="49">
      <c r="B49" s="18" t="inlineStr">
        <is>
          <t>• Biggest single risk: YouTube's inauthentic-content policy. Avoid template-feel at all costs.</t>
        </is>
      </c>
    </row>
    <row r="50">
      <c r="B50" s="18" t="inlineStr">
        <is>
          <t>• Second biggest: Reddit API continuing to tighten. Scraping API dependency is a single point of failure.</t>
        </is>
      </c>
    </row>
    <row r="51">
      <c r="B51" s="18" t="inlineStr">
        <is>
          <t>• The plan assumes 25-40 focused hours/week on your side. Cut that in half and double every timeline.</t>
        </is>
      </c>
    </row>
  </sheetData>
  <mergeCells count="15">
    <mergeCell ref="B45:E45"/>
    <mergeCell ref="B9:E9"/>
    <mergeCell ref="B49:E49"/>
    <mergeCell ref="C5:E5"/>
    <mergeCell ref="B50:E50"/>
    <mergeCell ref="B21:E21"/>
    <mergeCell ref="B48:E48"/>
    <mergeCell ref="B3:E3"/>
    <mergeCell ref="B2:E2"/>
    <mergeCell ref="B34:E34"/>
    <mergeCell ref="C7:E7"/>
    <mergeCell ref="B47:E47"/>
    <mergeCell ref="B51:E51"/>
    <mergeCell ref="B46:E46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 ht="26" customHeight="1">
      <c r="B2" s="1" t="inlineStr">
        <is>
          <t>REVENUE PROJECTION — MONTHLY GROSS (USD)</t>
        </is>
      </c>
    </row>
    <row r="4">
      <c r="B4" s="8" t="inlineStr">
        <is>
          <t>Channel</t>
        </is>
      </c>
      <c r="C4" s="8" t="inlineStr">
        <is>
          <t>RPM ($)</t>
        </is>
      </c>
      <c r="D4" s="8" t="inlineStr">
        <is>
          <t>Month 1</t>
        </is>
      </c>
      <c r="E4" s="8" t="inlineStr">
        <is>
          <t>Month 2</t>
        </is>
      </c>
      <c r="F4" s="8" t="inlineStr">
        <is>
          <t>Month 3</t>
        </is>
      </c>
      <c r="G4" s="8" t="inlineStr">
        <is>
          <t>Month 4</t>
        </is>
      </c>
      <c r="H4" s="8" t="inlineStr">
        <is>
          <t>Month 5</t>
        </is>
      </c>
      <c r="I4" s="8" t="inlineStr">
        <is>
          <t>Month 6</t>
        </is>
      </c>
    </row>
    <row r="5">
      <c r="B5" s="9" t="inlineStr">
        <is>
          <t>Reddit Stories (Cashew)</t>
        </is>
      </c>
      <c r="C5" s="19" t="n">
        <v>6</v>
      </c>
      <c r="D5" s="20">
        <f>(D6/1000)*$C$5</f>
        <v/>
      </c>
      <c r="E5" s="20">
        <f>(E6/1000)*$C$5</f>
        <v/>
      </c>
      <c r="F5" s="20">
        <f>(F6/1000)*$C$5</f>
        <v/>
      </c>
      <c r="G5" s="20">
        <f>(G6/1000)*$C$5</f>
        <v/>
      </c>
      <c r="H5" s="20">
        <f>(H6/1000)*$C$5</f>
        <v/>
      </c>
      <c r="I5" s="20">
        <f>(I6/1000)*$C$5</f>
        <v/>
      </c>
    </row>
    <row r="6">
      <c r="B6" s="15" t="inlineStr">
        <is>
          <t xml:space="preserve">  └ views</t>
        </is>
      </c>
      <c r="C6" s="10" t="inlineStr"/>
      <c r="D6" s="21" t="n">
        <v>5000</v>
      </c>
      <c r="E6" s="21" t="n">
        <v>50000</v>
      </c>
      <c r="F6" s="21" t="n">
        <v>150000</v>
      </c>
      <c r="G6" s="21" t="n">
        <v>300000</v>
      </c>
      <c r="H6" s="21" t="n">
        <v>500000</v>
      </c>
      <c r="I6" s="21" t="n">
        <v>700000</v>
      </c>
    </row>
    <row r="7">
      <c r="B7" s="9" t="inlineStr">
        <is>
          <t>Reddit Shorts</t>
        </is>
      </c>
      <c r="C7" s="19" t="n">
        <v>0.6</v>
      </c>
      <c r="D7" s="20">
        <f>(D8/1000)*$C$7</f>
        <v/>
      </c>
      <c r="E7" s="20">
        <f>(E8/1000)*$C$7</f>
        <v/>
      </c>
      <c r="F7" s="20">
        <f>(F8/1000)*$C$7</f>
        <v/>
      </c>
      <c r="G7" s="20">
        <f>(G8/1000)*$C$7</f>
        <v/>
      </c>
      <c r="H7" s="20">
        <f>(H8/1000)*$C$7</f>
        <v/>
      </c>
      <c r="I7" s="20">
        <f>(I8/1000)*$C$7</f>
        <v/>
      </c>
    </row>
    <row r="8">
      <c r="B8" s="15" t="inlineStr">
        <is>
          <t xml:space="preserve">  └ views</t>
        </is>
      </c>
      <c r="C8" s="10" t="inlineStr"/>
      <c r="D8" s="21" t="n">
        <v>20000</v>
      </c>
      <c r="E8" s="21" t="n">
        <v>200000</v>
      </c>
      <c r="F8" s="21" t="n">
        <v>600000</v>
      </c>
      <c r="G8" s="21" t="n">
        <v>1200000</v>
      </c>
      <c r="H8" s="21" t="n">
        <v>2000000</v>
      </c>
      <c r="I8" s="21" t="n">
        <v>3000000</v>
      </c>
    </row>
    <row r="9">
      <c r="B9" s="9" t="inlineStr">
        <is>
          <t>Peanut Reacts (Sidemen)</t>
        </is>
      </c>
      <c r="C9" s="19" t="n">
        <v>4</v>
      </c>
      <c r="D9" s="20">
        <f>(D10/1000)*$C$9</f>
        <v/>
      </c>
      <c r="E9" s="20">
        <f>(E10/1000)*$C$9</f>
        <v/>
      </c>
      <c r="F9" s="20">
        <f>(F10/1000)*$C$9</f>
        <v/>
      </c>
      <c r="G9" s="20">
        <f>(G10/1000)*$C$9</f>
        <v/>
      </c>
      <c r="H9" s="20">
        <f>(H10/1000)*$C$9</f>
        <v/>
      </c>
      <c r="I9" s="20">
        <f>(I10/1000)*$C$9</f>
        <v/>
      </c>
    </row>
    <row r="10">
      <c r="B10" s="15" t="inlineStr">
        <is>
          <t xml:space="preserve">  └ views</t>
        </is>
      </c>
      <c r="C10" s="10" t="inlineStr"/>
      <c r="D10" s="21" t="n">
        <v>0</v>
      </c>
      <c r="E10" s="21" t="n">
        <v>10000</v>
      </c>
      <c r="F10" s="21" t="n">
        <v>50000</v>
      </c>
      <c r="G10" s="21" t="n">
        <v>150000</v>
      </c>
      <c r="H10" s="21" t="n">
        <v>300000</v>
      </c>
      <c r="I10" s="21" t="n">
        <v>400000</v>
      </c>
    </row>
    <row r="11">
      <c r="B11" s="9" t="inlineStr">
        <is>
          <t>Peanut Reacts (KSI)</t>
        </is>
      </c>
      <c r="C11" s="19" t="n">
        <v>4</v>
      </c>
      <c r="D11" s="20">
        <f>(D12/1000)*$C$11</f>
        <v/>
      </c>
      <c r="E11" s="20">
        <f>(E12/1000)*$C$11</f>
        <v/>
      </c>
      <c r="F11" s="20">
        <f>(F12/1000)*$C$11</f>
        <v/>
      </c>
      <c r="G11" s="20">
        <f>(G12/1000)*$C$11</f>
        <v/>
      </c>
      <c r="H11" s="20">
        <f>(H12/1000)*$C$11</f>
        <v/>
      </c>
      <c r="I11" s="20">
        <f>(I12/1000)*$C$11</f>
        <v/>
      </c>
    </row>
    <row r="12">
      <c r="B12" s="15" t="inlineStr">
        <is>
          <t xml:space="preserve">  └ views</t>
        </is>
      </c>
      <c r="C12" s="10" t="inlineStr"/>
      <c r="D12" s="21" t="n">
        <v>0</v>
      </c>
      <c r="E12" s="21" t="n">
        <v>0</v>
      </c>
      <c r="F12" s="21" t="n">
        <v>10000</v>
      </c>
      <c r="G12" s="21" t="n">
        <v>50000</v>
      </c>
      <c r="H12" s="21" t="n">
        <v>150000</v>
      </c>
      <c r="I12" s="21" t="n">
        <v>300000</v>
      </c>
    </row>
    <row r="13">
      <c r="B13" s="9" t="inlineStr">
        <is>
          <t>Peanut TikTok Reacts</t>
        </is>
      </c>
      <c r="C13" s="19" t="n">
        <v>0.4</v>
      </c>
      <c r="D13" s="20">
        <f>(D14/1000)*$C$13</f>
        <v/>
      </c>
      <c r="E13" s="20">
        <f>(E14/1000)*$C$13</f>
        <v/>
      </c>
      <c r="F13" s="20">
        <f>(F14/1000)*$C$13</f>
        <v/>
      </c>
      <c r="G13" s="20">
        <f>(G14/1000)*$C$13</f>
        <v/>
      </c>
      <c r="H13" s="20">
        <f>(H14/1000)*$C$13</f>
        <v/>
      </c>
      <c r="I13" s="20">
        <f>(I14/1000)*$C$13</f>
        <v/>
      </c>
    </row>
    <row r="14">
      <c r="B14" s="15" t="inlineStr">
        <is>
          <t xml:space="preserve">  └ views</t>
        </is>
      </c>
      <c r="C14" s="10" t="inlineStr"/>
      <c r="D14" s="21" t="n">
        <v>0</v>
      </c>
      <c r="E14" s="21" t="n">
        <v>30000</v>
      </c>
      <c r="F14" s="21" t="n">
        <v>200000</v>
      </c>
      <c r="G14" s="21" t="n">
        <v>500000</v>
      </c>
      <c r="H14" s="21" t="n">
        <v>1000000</v>
      </c>
      <c r="I14" s="21" t="n">
        <v>1600000</v>
      </c>
    </row>
    <row r="15">
      <c r="B15" s="9" t="inlineStr">
        <is>
          <t>HasanAbi Archive</t>
        </is>
      </c>
      <c r="C15" s="19" t="n">
        <v>6</v>
      </c>
      <c r="D15" s="20">
        <f>(D16/1000)*$C$15</f>
        <v/>
      </c>
      <c r="E15" s="20">
        <f>(E16/1000)*$C$15</f>
        <v/>
      </c>
      <c r="F15" s="20">
        <f>(F16/1000)*$C$15</f>
        <v/>
      </c>
      <c r="G15" s="20">
        <f>(G16/1000)*$C$15</f>
        <v/>
      </c>
      <c r="H15" s="20">
        <f>(H16/1000)*$C$15</f>
        <v/>
      </c>
      <c r="I15" s="20">
        <f>(I16/1000)*$C$15</f>
        <v/>
      </c>
    </row>
    <row r="16">
      <c r="B16" s="15" t="inlineStr">
        <is>
          <t xml:space="preserve">  └ views</t>
        </is>
      </c>
      <c r="C16" s="10" t="inlineStr"/>
      <c r="D16" s="21" t="n">
        <v>0</v>
      </c>
      <c r="E16" s="21" t="n">
        <v>20000</v>
      </c>
      <c r="F16" s="21" t="n">
        <v>80000</v>
      </c>
      <c r="G16" s="21" t="n">
        <v>200000</v>
      </c>
      <c r="H16" s="21" t="n">
        <v>350000</v>
      </c>
      <c r="I16" s="21" t="n">
        <v>500000</v>
      </c>
    </row>
    <row r="17">
      <c r="B17" s="9" t="inlineStr">
        <is>
          <t>Reddit AITA (Pistachio)</t>
        </is>
      </c>
      <c r="C17" s="19" t="n">
        <v>5</v>
      </c>
      <c r="D17" s="20">
        <f>(D18/1000)*$C$17</f>
        <v/>
      </c>
      <c r="E17" s="20">
        <f>(E18/1000)*$C$17</f>
        <v/>
      </c>
      <c r="F17" s="20">
        <f>(F18/1000)*$C$17</f>
        <v/>
      </c>
      <c r="G17" s="20">
        <f>(G18/1000)*$C$17</f>
        <v/>
      </c>
      <c r="H17" s="20">
        <f>(H18/1000)*$C$17</f>
        <v/>
      </c>
      <c r="I17" s="20">
        <f>(I18/1000)*$C$17</f>
        <v/>
      </c>
    </row>
    <row r="18">
      <c r="B18" s="15" t="inlineStr">
        <is>
          <t xml:space="preserve">  └ views</t>
        </is>
      </c>
      <c r="C18" s="10" t="inlineStr"/>
      <c r="D18" s="21" t="n">
        <v>0</v>
      </c>
      <c r="E18" s="21" t="n">
        <v>0</v>
      </c>
      <c r="F18" s="21" t="n">
        <v>0</v>
      </c>
      <c r="G18" s="21" t="n">
        <v>30000</v>
      </c>
      <c r="H18" s="21" t="n">
        <v>150000</v>
      </c>
      <c r="I18" s="21" t="n">
        <v>350000</v>
      </c>
    </row>
    <row r="19">
      <c r="B19" s="9" t="inlineStr">
        <is>
          <t>Cozy Ambient</t>
        </is>
      </c>
      <c r="C19" s="19" t="n">
        <v>2</v>
      </c>
      <c r="D19" s="20">
        <f>(D20/1000)*$C$19</f>
        <v/>
      </c>
      <c r="E19" s="20">
        <f>(E20/1000)*$C$19</f>
        <v/>
      </c>
      <c r="F19" s="20">
        <f>(F20/1000)*$C$19</f>
        <v/>
      </c>
      <c r="G19" s="20">
        <f>(G20/1000)*$C$19</f>
        <v/>
      </c>
      <c r="H19" s="20">
        <f>(H20/1000)*$C$19</f>
        <v/>
      </c>
      <c r="I19" s="20">
        <f>(I20/1000)*$C$19</f>
        <v/>
      </c>
    </row>
    <row r="20">
      <c r="B20" s="15" t="inlineStr">
        <is>
          <t xml:space="preserve">  └ views</t>
        </is>
      </c>
      <c r="C20" s="10" t="inlineStr"/>
      <c r="D20" s="21" t="n">
        <v>0</v>
      </c>
      <c r="E20" s="21" t="n">
        <v>0</v>
      </c>
      <c r="F20" s="21" t="n">
        <v>50000</v>
      </c>
      <c r="G20" s="21" t="n">
        <v>200000</v>
      </c>
      <c r="H20" s="21" t="n">
        <v>500000</v>
      </c>
      <c r="I20" s="21" t="n">
        <v>800000</v>
      </c>
    </row>
    <row r="21">
      <c r="B21" s="9" t="inlineStr">
        <is>
          <t>Lofi Stream</t>
        </is>
      </c>
      <c r="C21" s="19" t="n">
        <v>2</v>
      </c>
      <c r="D21" s="20">
        <f>(D22/1000)*$C$21</f>
        <v/>
      </c>
      <c r="E21" s="20">
        <f>(E22/1000)*$C$21</f>
        <v/>
      </c>
      <c r="F21" s="20">
        <f>(F22/1000)*$C$21</f>
        <v/>
      </c>
      <c r="G21" s="20">
        <f>(G22/1000)*$C$21</f>
        <v/>
      </c>
      <c r="H21" s="20">
        <f>(H22/1000)*$C$21</f>
        <v/>
      </c>
      <c r="I21" s="20">
        <f>(I22/1000)*$C$21</f>
        <v/>
      </c>
    </row>
    <row r="22">
      <c r="B22" s="15" t="inlineStr">
        <is>
          <t xml:space="preserve">  └ views</t>
        </is>
      </c>
      <c r="C22" s="10" t="inlineStr"/>
      <c r="D22" s="21" t="n">
        <v>0</v>
      </c>
      <c r="E22" s="21" t="n">
        <v>0</v>
      </c>
      <c r="F22" s="21" t="n">
        <v>0</v>
      </c>
      <c r="G22" s="21" t="n">
        <v>50000</v>
      </c>
      <c r="H22" s="21" t="n">
        <v>150000</v>
      </c>
      <c r="I22" s="21" t="n">
        <v>300000</v>
      </c>
    </row>
    <row r="23">
      <c r="B23" s="14" t="inlineStr">
        <is>
          <t>TOTAL AD REVENUE</t>
        </is>
      </c>
      <c r="C23" s="14" t="inlineStr"/>
      <c r="D23" s="22">
        <f>D5+D7+D9+D11+D13+D15+D17+D19+D21</f>
        <v/>
      </c>
      <c r="E23" s="22">
        <f>E5+E7+E9+E11+E13+E15+E17+E19+E21</f>
        <v/>
      </c>
      <c r="F23" s="22">
        <f>F5+F7+F9+F11+F13+F15+F17+F19+F21</f>
        <v/>
      </c>
      <c r="G23" s="22">
        <f>G5+G7+G9+G11+G13+G15+G17+G19+G21</f>
        <v/>
      </c>
      <c r="H23" s="22">
        <f>H5+H7+H9+H11+H13+H15+H17+H19+H21</f>
        <v/>
      </c>
      <c r="I23" s="22">
        <f>I5+I7+I9+I11+I13+I15+I17+I19+I21</f>
        <v/>
      </c>
    </row>
    <row r="25">
      <c r="B25" s="23" t="inlineStr">
        <is>
          <t>DIVERSIFIED REVENUE</t>
        </is>
      </c>
      <c r="C25" s="6" t="n"/>
      <c r="D25" s="6" t="n"/>
      <c r="E25" s="6" t="n"/>
      <c r="F25" s="6" t="n"/>
      <c r="G25" s="6" t="n"/>
      <c r="H25" s="6" t="n"/>
      <c r="I25" s="7" t="n"/>
    </row>
    <row r="26">
      <c r="B26" s="9" t="inlineStr">
        <is>
          <t>Channel memberships</t>
        </is>
      </c>
      <c r="C26" s="15" t="inlineStr"/>
      <c r="D26" s="24" t="n">
        <v>0</v>
      </c>
      <c r="E26" s="24" t="n">
        <v>0</v>
      </c>
      <c r="F26" s="24" t="n">
        <v>0</v>
      </c>
      <c r="G26" s="24" t="n">
        <v>100</v>
      </c>
      <c r="H26" s="24" t="n">
        <v>500</v>
      </c>
      <c r="I26" s="24" t="n">
        <v>1500</v>
      </c>
    </row>
    <row r="27">
      <c r="B27" s="9" t="inlineStr">
        <is>
          <t>Sponsorships (2-3 ch)</t>
        </is>
      </c>
      <c r="C27" s="15" t="inlineStr"/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1500</v>
      </c>
      <c r="I27" s="24" t="n">
        <v>4000</v>
      </c>
    </row>
    <row r="28">
      <c r="B28" s="9" t="inlineStr">
        <is>
          <t>Patreon</t>
        </is>
      </c>
      <c r="C28" s="15" t="inlineStr"/>
      <c r="D28" s="24" t="n">
        <v>0</v>
      </c>
      <c r="E28" s="24" t="n">
        <v>0</v>
      </c>
      <c r="F28" s="24" t="n">
        <v>0</v>
      </c>
      <c r="G28" s="24" t="n">
        <v>50</v>
      </c>
      <c r="H28" s="24" t="n">
        <v>200</v>
      </c>
      <c r="I28" s="24" t="n">
        <v>600</v>
      </c>
    </row>
    <row r="29">
      <c r="B29" s="9" t="inlineStr">
        <is>
          <t>Affiliate links</t>
        </is>
      </c>
      <c r="C29" s="15" t="inlineStr"/>
      <c r="D29" s="24" t="n">
        <v>0</v>
      </c>
      <c r="E29" s="24" t="n">
        <v>0</v>
      </c>
      <c r="F29" s="24" t="n">
        <v>20</v>
      </c>
      <c r="G29" s="24" t="n">
        <v>80</v>
      </c>
      <c r="H29" s="24" t="n">
        <v>200</v>
      </c>
      <c r="I29" s="24" t="n">
        <v>500</v>
      </c>
    </row>
    <row r="30">
      <c r="B30" s="9" t="inlineStr">
        <is>
          <t>Super Chat / Thanks</t>
        </is>
      </c>
      <c r="C30" s="15" t="inlineStr"/>
      <c r="D30" s="24" t="n">
        <v>0</v>
      </c>
      <c r="E30" s="24" t="n">
        <v>0</v>
      </c>
      <c r="F30" s="24" t="n">
        <v>10</v>
      </c>
      <c r="G30" s="24" t="n">
        <v>50</v>
      </c>
      <c r="H30" s="24" t="n">
        <v>150</v>
      </c>
      <c r="I30" s="24" t="n">
        <v>400</v>
      </c>
    </row>
    <row r="31">
      <c r="B31" s="14" t="inlineStr">
        <is>
          <t>TOTAL DIVERSIFIED</t>
        </is>
      </c>
      <c r="C31" s="14" t="inlineStr"/>
      <c r="D31" s="22">
        <f>D26+D27+D28+D29+D30</f>
        <v/>
      </c>
      <c r="E31" s="22">
        <f>E26+E27+E28+E29+E30</f>
        <v/>
      </c>
      <c r="F31" s="22">
        <f>F26+F27+F28+F29+F30</f>
        <v/>
      </c>
      <c r="G31" s="22">
        <f>G26+G27+G28+G29+G30</f>
        <v/>
      </c>
      <c r="H31" s="22">
        <f>H26+H27+H28+H29+H30</f>
        <v/>
      </c>
      <c r="I31" s="22">
        <f>I26+I27+I28+I29+I30</f>
        <v/>
      </c>
    </row>
    <row r="33">
      <c r="B33" s="25" t="inlineStr">
        <is>
          <t>GROSS REVENUE</t>
        </is>
      </c>
      <c r="D33" s="26">
        <f>D23+D31</f>
        <v/>
      </c>
      <c r="E33" s="26">
        <f>E23+E31</f>
        <v/>
      </c>
      <c r="F33" s="26">
        <f>F23+F31</f>
        <v/>
      </c>
      <c r="G33" s="26">
        <f>G23+G31</f>
        <v/>
      </c>
      <c r="H33" s="26">
        <f>H23+H31</f>
        <v/>
      </c>
      <c r="I33" s="26">
        <f>I23+I31</f>
        <v/>
      </c>
    </row>
    <row r="34">
      <c r="B34" s="9" t="inlineStr">
        <is>
          <t>OPERATING COSTS</t>
        </is>
      </c>
      <c r="D34" s="27">
        <f>-20</f>
        <v/>
      </c>
      <c r="E34" s="27">
        <f>-30</f>
        <v/>
      </c>
      <c r="F34" s="27">
        <f>-50</f>
        <v/>
      </c>
      <c r="G34" s="27">
        <f>-80</f>
        <v/>
      </c>
      <c r="H34" s="27">
        <f>-120</f>
        <v/>
      </c>
      <c r="I34" s="27">
        <f>-180</f>
        <v/>
      </c>
    </row>
    <row r="35">
      <c r="B35" s="28" t="inlineStr">
        <is>
          <t>NET PROFIT</t>
        </is>
      </c>
      <c r="D35" s="29">
        <f>D33+D34</f>
        <v/>
      </c>
      <c r="E35" s="29">
        <f>E33+E34</f>
        <v/>
      </c>
      <c r="F35" s="29">
        <f>F33+F34</f>
        <v/>
      </c>
      <c r="G35" s="29">
        <f>G33+G34</f>
        <v/>
      </c>
      <c r="H35" s="29">
        <f>H33+H34</f>
        <v/>
      </c>
      <c r="I35" s="29">
        <f>I33+I34</f>
        <v/>
      </c>
    </row>
    <row r="37">
      <c r="B37" s="3" t="inlineStr">
        <is>
          <t>NOTES</t>
        </is>
      </c>
      <c r="C37" s="6" t="n"/>
      <c r="D37" s="6" t="n"/>
      <c r="E37" s="6" t="n"/>
      <c r="F37" s="6" t="n"/>
      <c r="G37" s="6" t="n"/>
      <c r="H37" s="6" t="n"/>
      <c r="I37" s="7" t="n"/>
    </row>
    <row r="38">
      <c r="B38" s="4" t="inlineStr">
        <is>
          <t>• Blue cells = inputs. Adjust views or RPMs to stress-test. Green net-profit row recalculates automatically.</t>
        </is>
      </c>
    </row>
    <row r="39">
      <c r="B39" s="4" t="inlineStr">
        <is>
          <t>• Shorts RPM is intentionally low ($0.6 / 1k views) — Shorts pay worse than long-form. We use them for discovery not revenue.</t>
        </is>
      </c>
    </row>
    <row r="40">
      <c r="B40" s="4" t="inlineStr">
        <is>
          <t>• Sponsorship revenue only kicks in at 50k+ subs on a channel. If no channel reaches that by Month 5, zero this row.</t>
        </is>
      </c>
    </row>
    <row r="41">
      <c r="B41" s="4" t="inlineStr">
        <is>
          <t>• This model assumes 5% cost-of-revenue growth per tier (ElevenLabs + APIs scale with volume).</t>
        </is>
      </c>
    </row>
    <row r="42">
      <c r="B42" s="4" t="inlineStr">
        <is>
          <t>• Net margin at Month 6 in this model: ~99%. That's because costs are near-zero in automation. Taxes not included.</t>
        </is>
      </c>
    </row>
  </sheetData>
  <mergeCells count="8">
    <mergeCell ref="B39:I39"/>
    <mergeCell ref="B25:I25"/>
    <mergeCell ref="B38:I38"/>
    <mergeCell ref="B2:I2"/>
    <mergeCell ref="B42:I42"/>
    <mergeCell ref="B37:I37"/>
    <mergeCell ref="B41:I41"/>
    <mergeCell ref="B40:I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4" customWidth="1" min="4" max="4"/>
    <col width="14" customWidth="1" min="5" max="5"/>
    <col width="22" customWidth="1" min="6" max="6"/>
    <col width="26" customWidth="1" min="7" max="7"/>
    <col width="26" customWidth="1" min="8" max="8"/>
    <col width="18" customWidth="1" min="9" max="9"/>
  </cols>
  <sheetData>
    <row r="2" ht="26" customHeight="1">
      <c r="B2" s="1" t="inlineStr">
        <is>
          <t>CHANNEL LAUNCH ROADMAP</t>
        </is>
      </c>
    </row>
    <row r="4">
      <c r="B4" s="8" t="inlineStr">
        <is>
          <t>Channel</t>
        </is>
      </c>
      <c r="C4" s="8" t="inlineStr">
        <is>
          <t>Status</t>
        </is>
      </c>
      <c r="D4" s="8" t="inlineStr">
        <is>
          <t>Launch Day</t>
        </is>
      </c>
      <c r="E4" s="8" t="inlineStr">
        <is>
          <t>Launch Date</t>
        </is>
      </c>
      <c r="F4" s="8" t="inlineStr">
        <is>
          <t>Format</t>
        </is>
      </c>
      <c r="G4" s="8" t="inlineStr">
        <is>
          <t>Cadence</t>
        </is>
      </c>
      <c r="H4" s="8" t="inlineStr">
        <is>
          <t>Primary Content</t>
        </is>
      </c>
      <c r="I4" s="8" t="inlineStr">
        <is>
          <t>Dependencies</t>
        </is>
      </c>
    </row>
    <row r="5">
      <c r="B5" s="9" t="inlineStr">
        <is>
          <t>Reddit Stories (Cashew)</t>
        </is>
      </c>
      <c r="C5" s="30" t="inlineStr">
        <is>
          <t>In dev (blocked)</t>
        </is>
      </c>
      <c r="D5" s="10" t="n">
        <v>5</v>
      </c>
      <c r="E5" s="10" t="inlineStr">
        <is>
          <t>2026-04-21</t>
        </is>
      </c>
      <c r="F5" s="10" t="inlineStr">
        <is>
          <t>YouTube long-form 16:9</t>
        </is>
      </c>
      <c r="G5" s="10" t="inlineStr">
        <is>
          <t>Daily</t>
        </is>
      </c>
      <c r="H5" s="15" t="inlineStr">
        <is>
          <t>AITA / MC / tifu / petty revenge</t>
        </is>
      </c>
      <c r="I5" s="15" t="inlineStr">
        <is>
          <t>Reddit scraping API or OAuth</t>
        </is>
      </c>
    </row>
    <row r="6">
      <c r="B6" s="9" t="inlineStr">
        <is>
          <t>Reddit Shorts</t>
        </is>
      </c>
      <c r="C6" s="12" t="inlineStr">
        <is>
          <t>Planned</t>
        </is>
      </c>
      <c r="D6" s="10" t="n">
        <v>20</v>
      </c>
      <c r="E6" s="10" t="inlineStr">
        <is>
          <t>2026-05-06</t>
        </is>
      </c>
      <c r="F6" s="10" t="inlineStr">
        <is>
          <t>YouTube + TikTok 9:16, 30-60s</t>
        </is>
      </c>
      <c r="G6" s="10" t="inlineStr">
        <is>
          <t>3-5/day</t>
        </is>
      </c>
      <c r="H6" s="15" t="inlineStr">
        <is>
          <t>Best moments from long-form + standalone</t>
        </is>
      </c>
      <c r="I6" s="15" t="inlineStr">
        <is>
          <t>Long-form channel live + vertical edit script</t>
        </is>
      </c>
    </row>
    <row r="7">
      <c r="B7" s="9" t="inlineStr">
        <is>
          <t>Peanut Reacts (Sidemen)</t>
        </is>
      </c>
      <c r="C7" s="30" t="inlineStr">
        <is>
          <t>Built, not shipping</t>
        </is>
      </c>
      <c r="D7" s="10" t="n">
        <v>30</v>
      </c>
      <c r="E7" s="10" t="inlineStr">
        <is>
          <t>2026-05-16</t>
        </is>
      </c>
      <c r="F7" s="10" t="inlineStr">
        <is>
          <t>YouTube long-form 16:9</t>
        </is>
      </c>
      <c r="G7" s="10" t="inlineStr">
        <is>
          <t>3x/week</t>
        </is>
      </c>
      <c r="H7" s="15" t="inlineStr">
        <is>
          <t>Sidemen Among Us compilations (5-10hr)</t>
        </is>
      </c>
      <c r="I7" s="15" t="inlineStr">
        <is>
          <t>Fix broken uk_clips (7 failed jobs)</t>
        </is>
      </c>
    </row>
    <row r="8">
      <c r="B8" s="9" t="inlineStr">
        <is>
          <t>Peanut TikTok Reacts</t>
        </is>
      </c>
      <c r="C8" s="30" t="inlineStr">
        <is>
          <t>Config exists</t>
        </is>
      </c>
      <c r="D8" s="10" t="n">
        <v>45</v>
      </c>
      <c r="E8" s="10" t="inlineStr">
        <is>
          <t>2026-05-31</t>
        </is>
      </c>
      <c r="F8" s="10" t="inlineStr">
        <is>
          <t>TikTok + Shorts 9:16</t>
        </is>
      </c>
      <c r="G8" s="10" t="inlineStr">
        <is>
          <t>Daily</t>
        </is>
      </c>
      <c r="H8" s="15" t="inlineStr">
        <is>
          <t>Peanut reacts to viral TikToks</t>
        </is>
      </c>
      <c r="I8" s="15" t="inlineStr">
        <is>
          <t>Source TikTok content legally + Wav2Lip/SadTalker swap</t>
        </is>
      </c>
    </row>
    <row r="9">
      <c r="B9" s="9" t="inlineStr">
        <is>
          <t>HasanAbi Archive</t>
        </is>
      </c>
      <c r="C9" s="11" t="inlineStr">
        <is>
          <t>Built, 2 videos shipped</t>
        </is>
      </c>
      <c r="D9" s="10" t="n">
        <v>50</v>
      </c>
      <c r="E9" s="10" t="inlineStr">
        <is>
          <t>2026-06-05</t>
        </is>
      </c>
      <c r="F9" s="10" t="inlineStr">
        <is>
          <t>YouTube long-form 16:9</t>
        </is>
      </c>
      <c r="G9" s="10" t="inlineStr">
        <is>
          <t>Daily</t>
        </is>
      </c>
      <c r="H9" s="15" t="inlineStr">
        <is>
          <t>HasanAbi stream segments by topic</t>
        </is>
      </c>
      <c r="I9" s="15" t="inlineStr">
        <is>
          <t>Source channel continuing to post + segment LLM tuning</t>
        </is>
      </c>
    </row>
    <row r="10">
      <c r="B10" s="9" t="inlineStr">
        <is>
          <t>Peanut Reacts (KSI)</t>
        </is>
      </c>
      <c r="C10" s="30" t="inlineStr">
        <is>
          <t>Config exists</t>
        </is>
      </c>
      <c r="D10" s="10" t="n">
        <v>60</v>
      </c>
      <c r="E10" s="10" t="inlineStr">
        <is>
          <t>2026-06-15</t>
        </is>
      </c>
      <c r="F10" s="10" t="inlineStr">
        <is>
          <t>YouTube long-form 16:9</t>
        </is>
      </c>
      <c r="G10" s="10" t="inlineStr">
        <is>
          <t>3x/week</t>
        </is>
      </c>
      <c r="H10" s="15" t="inlineStr">
        <is>
          <t>KSI reaction + commentary</t>
        </is>
      </c>
      <c r="I10" s="15" t="inlineStr">
        <is>
          <t>Reuse Sidemen pipeline with new persona</t>
        </is>
      </c>
    </row>
    <row r="11">
      <c r="B11" s="9" t="inlineStr">
        <is>
          <t>Cozy Ambient</t>
        </is>
      </c>
      <c r="C11" s="30" t="inlineStr">
        <is>
          <t>Config exists</t>
        </is>
      </c>
      <c r="D11" s="10" t="n">
        <v>75</v>
      </c>
      <c r="E11" s="10" t="inlineStr">
        <is>
          <t>2026-06-30</t>
        </is>
      </c>
      <c r="F11" s="10" t="inlineStr">
        <is>
          <t>YouTube long-form</t>
        </is>
      </c>
      <c r="G11" s="10" t="inlineStr">
        <is>
          <t>2-3/week</t>
        </is>
      </c>
      <c r="H11" s="15" t="inlineStr">
        <is>
          <t>8hr rain/fireplace/cafe soundscapes</t>
        </is>
      </c>
      <c r="I11" s="15" t="inlineStr">
        <is>
          <t>Run existing scheduler.pipelines.run_ambient_pipeline</t>
        </is>
      </c>
    </row>
    <row r="12">
      <c r="B12" s="9" t="inlineStr">
        <is>
          <t>Reddit AITA (Pistachio)</t>
        </is>
      </c>
      <c r="C12" s="12" t="inlineStr">
        <is>
          <t>Planned</t>
        </is>
      </c>
      <c r="D12" s="10" t="n">
        <v>90</v>
      </c>
      <c r="E12" s="10" t="inlineStr">
        <is>
          <t>2026-07-15</t>
        </is>
      </c>
      <c r="F12" s="10" t="inlineStr">
        <is>
          <t>YouTube long-form 16:9</t>
        </is>
      </c>
      <c r="G12" s="10" t="inlineStr">
        <is>
          <t>Daily</t>
        </is>
      </c>
      <c r="H12" s="15" t="inlineStr">
        <is>
          <t>Different persona + subs (relationship_advice, bestofredditorupdates)</t>
        </is>
      </c>
      <c r="I12" s="15" t="inlineStr">
        <is>
          <t>Reddit pipeline stable first</t>
        </is>
      </c>
    </row>
    <row r="13">
      <c r="B13" s="9" t="inlineStr">
        <is>
          <t>Lofi Stream (24/7)</t>
        </is>
      </c>
      <c r="C13" s="30" t="inlineStr">
        <is>
          <t>Config exists</t>
        </is>
      </c>
      <c r="D13" s="10" t="n">
        <v>100</v>
      </c>
      <c r="E13" s="10" t="inlineStr">
        <is>
          <t>2026-07-25</t>
        </is>
      </c>
      <c r="F13" s="10" t="inlineStr">
        <is>
          <t>YouTube 24/7 live</t>
        </is>
      </c>
      <c r="G13" s="10" t="inlineStr">
        <is>
          <t>Continuous</t>
        </is>
      </c>
      <c r="H13" s="15" t="inlineStr">
        <is>
          <t>Lofi beats + ambient visuals</t>
        </is>
      </c>
      <c r="I13" s="15" t="inlineStr">
        <is>
          <t>Pick music source (AI vs licensed), RTMP setup</t>
        </is>
      </c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 ht="26" customHeight="1">
      <c r="B2" s="1" t="inlineStr">
        <is>
          <t>MONTHLY OPERATING BUDGET (USD)</t>
        </is>
      </c>
    </row>
    <row r="4">
      <c r="B4" s="8" t="inlineStr">
        <is>
          <t>Item</t>
        </is>
      </c>
      <c r="C4" s="8" t="inlineStr">
        <is>
          <t>Notes</t>
        </is>
      </c>
      <c r="D4" s="8" t="inlineStr">
        <is>
          <t>M1</t>
        </is>
      </c>
      <c r="E4" s="8" t="inlineStr">
        <is>
          <t>M2</t>
        </is>
      </c>
      <c r="F4" s="8" t="inlineStr">
        <is>
          <t>M3</t>
        </is>
      </c>
      <c r="G4" s="8" t="inlineStr">
        <is>
          <t>M4</t>
        </is>
      </c>
      <c r="H4" s="8" t="inlineStr">
        <is>
          <t>M5</t>
        </is>
      </c>
      <c r="I4" s="8" t="inlineStr">
        <is>
          <t>M6</t>
        </is>
      </c>
    </row>
    <row r="5">
      <c r="B5" s="9" t="inlineStr">
        <is>
          <t>Hetzner VPS CPX31</t>
        </is>
      </c>
      <c r="C5" s="15" t="inlineStr">
        <is>
          <t>Already provisioned — 4 vCPU / 8 GB / 20 TB egress</t>
        </is>
      </c>
      <c r="D5" s="24" t="n">
        <v>16</v>
      </c>
      <c r="E5" s="24" t="n">
        <v>16</v>
      </c>
      <c r="F5" s="24" t="n">
        <v>16</v>
      </c>
      <c r="G5" s="24" t="n">
        <v>16</v>
      </c>
      <c r="H5" s="24" t="n">
        <v>16</v>
      </c>
      <c r="I5" s="24" t="n">
        <v>16</v>
      </c>
    </row>
    <row r="6">
      <c r="B6" s="9" t="inlineStr">
        <is>
          <t>Reddit scraping API</t>
        </is>
      </c>
      <c r="C6" s="15" t="inlineStr">
        <is>
          <t>Scrape.do free tier covers up to M4, then $30/mo</t>
        </is>
      </c>
      <c r="D6" s="24" t="n">
        <v>0</v>
      </c>
      <c r="E6" s="24" t="n">
        <v>0</v>
      </c>
      <c r="F6" s="24" t="n">
        <v>0</v>
      </c>
      <c r="G6" s="24" t="n">
        <v>30</v>
      </c>
      <c r="H6" s="24" t="n">
        <v>30</v>
      </c>
      <c r="I6" s="24" t="n">
        <v>30</v>
      </c>
    </row>
    <row r="7">
      <c r="B7" s="9" t="inlineStr">
        <is>
          <t>ElevenLabs TTS</t>
        </is>
      </c>
      <c r="C7" s="15" t="inlineStr">
        <is>
          <t>Free tier during MVP; upgrade to Starter at M3, Creator M5</t>
        </is>
      </c>
      <c r="D7" s="24" t="n">
        <v>0</v>
      </c>
      <c r="E7" s="24" t="n">
        <v>0</v>
      </c>
      <c r="F7" s="24" t="n">
        <v>22</v>
      </c>
      <c r="G7" s="24" t="n">
        <v>22</v>
      </c>
      <c r="H7" s="24" t="n">
        <v>99</v>
      </c>
      <c r="I7" s="24" t="n">
        <v>99</v>
      </c>
    </row>
    <row r="8">
      <c r="B8" s="9" t="inlineStr">
        <is>
          <t>DeepSeek LLM</t>
        </is>
      </c>
      <c r="C8" s="15" t="inlineStr">
        <is>
          <t>~$5-15/mo at scale; prompts are short</t>
        </is>
      </c>
      <c r="D8" s="24" t="n">
        <v>2</v>
      </c>
      <c r="E8" s="24" t="n">
        <v>5</v>
      </c>
      <c r="F8" s="24" t="n">
        <v>8</v>
      </c>
      <c r="G8" s="24" t="n">
        <v>10</v>
      </c>
      <c r="H8" s="24" t="n">
        <v>15</v>
      </c>
      <c r="I8" s="24" t="n">
        <v>15</v>
      </c>
    </row>
    <row r="9">
      <c r="B9" s="9" t="inlineStr">
        <is>
          <t>Domain + YouTube tools</t>
        </is>
      </c>
      <c r="C9" s="15" t="inlineStr">
        <is>
          <t>Dashboard domain, TubeBuddy Pro, vidIQ Pro</t>
        </is>
      </c>
      <c r="D9" s="24" t="n">
        <v>0</v>
      </c>
      <c r="E9" s="24" t="n">
        <v>0</v>
      </c>
      <c r="F9" s="24" t="n">
        <v>10</v>
      </c>
      <c r="G9" s="24" t="n">
        <v>20</v>
      </c>
      <c r="H9" s="24" t="n">
        <v>30</v>
      </c>
      <c r="I9" s="24" t="n">
        <v>30</v>
      </c>
    </row>
    <row r="10">
      <c r="B10" s="9" t="inlineStr">
        <is>
          <t>Thumbnail / stock assets</t>
        </is>
      </c>
      <c r="C10" s="15" t="inlineStr">
        <is>
          <t>Pexels free — zero cost; optional Envato $20/mo from M4</t>
        </is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20</v>
      </c>
      <c r="I10" s="24" t="n">
        <v>20</v>
      </c>
    </row>
    <row r="11">
      <c r="B11" s="9" t="inlineStr">
        <is>
          <t>Residential proxies</t>
        </is>
      </c>
      <c r="C11" s="15" t="inlineStr">
        <is>
          <t>Only if Reddit API path broken further</t>
        </is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</row>
    <row r="12">
      <c r="B12" s="9" t="inlineStr">
        <is>
          <t>Miscellaneous</t>
        </is>
      </c>
      <c r="C12" s="15" t="inlineStr">
        <is>
          <t>Music licensing, test accounts, sponsorship research</t>
        </is>
      </c>
      <c r="D12" s="24" t="n">
        <v>2</v>
      </c>
      <c r="E12" s="24" t="n">
        <v>4</v>
      </c>
      <c r="F12" s="24" t="n">
        <v>8</v>
      </c>
      <c r="G12" s="24" t="n">
        <v>12</v>
      </c>
      <c r="H12" s="24" t="n">
        <v>15</v>
      </c>
      <c r="I12" s="24" t="n">
        <v>15</v>
      </c>
    </row>
    <row r="13">
      <c r="B13" s="31" t="inlineStr">
        <is>
          <t>TOTAL MONTHLY COSTS</t>
        </is>
      </c>
      <c r="C13" s="7" t="n"/>
      <c r="D13" s="22">
        <f>D5+D6+D7+D8+D9+D10+D11+D12</f>
        <v/>
      </c>
      <c r="E13" s="22">
        <f>E5+E6+E7+E8+E9+E10+E11+E12</f>
        <v/>
      </c>
      <c r="F13" s="22">
        <f>F5+F6+F7+F8+F9+F10+F11+F12</f>
        <v/>
      </c>
      <c r="G13" s="22">
        <f>G5+G6+G7+G8+G9+G10+G11+G12</f>
        <v/>
      </c>
      <c r="H13" s="22">
        <f>H5+H6+H7+H8+H9+H10+H11+H12</f>
        <v/>
      </c>
      <c r="I13" s="22">
        <f>I5+I6+I7+I8+I9+I10+I11+I12</f>
        <v/>
      </c>
    </row>
    <row r="15">
      <c r="B15" s="9" t="inlineStr">
        <is>
          <t>CUMULATIVE COSTS</t>
        </is>
      </c>
      <c r="C15" s="7" t="n"/>
      <c r="D15" s="32">
        <f>D5+D6+D7+D8+D9+D10+D11+D12</f>
        <v/>
      </c>
      <c r="E15" s="32">
        <f>D15+E5+E6+E7+E8+E9+E10+E11+E12</f>
        <v/>
      </c>
      <c r="F15" s="32">
        <f>E15+F5+F6+F7+F8+F9+F10+F11+F12</f>
        <v/>
      </c>
      <c r="G15" s="32">
        <f>F15+G5+G6+G7+G8+G9+G10+G11+G12</f>
        <v/>
      </c>
      <c r="H15" s="32">
        <f>G15+H5+H6+H7+H8+H9+H10+H11+H12</f>
        <v/>
      </c>
      <c r="I15" s="32">
        <f>H15+I5+I6+I7+I8+I9+I10+I11+I12</f>
        <v/>
      </c>
    </row>
    <row r="17">
      <c r="B17" s="3" t="inlineStr">
        <is>
          <t>BURN RATE NOTES</t>
        </is>
      </c>
      <c r="C17" s="6" t="n"/>
      <c r="D17" s="6" t="n"/>
      <c r="E17" s="6" t="n"/>
      <c r="F17" s="6" t="n"/>
      <c r="G17" s="6" t="n"/>
      <c r="H17" s="6" t="n"/>
      <c r="I17" s="7" t="n"/>
    </row>
    <row r="18">
      <c r="B18" s="4" t="inlineStr">
        <is>
          <t>• Total 6-month spend: ~$650. Cheaper than one month of the Fal.ai OmniHuman route we rejected.</t>
        </is>
      </c>
    </row>
    <row r="19">
      <c r="B19" s="4" t="inlineStr">
        <is>
          <t>• Zero GPU cost — all GPU work (SadTalker) runs on your local RTX 4070 Laptop.</t>
        </is>
      </c>
    </row>
    <row r="20">
      <c r="B20" s="4" t="inlineStr">
        <is>
          <t>• If we pivot to GPU-cloud (Hallo2 quality upgrade) that adds $30-80/mo starting at Month 4+.</t>
        </is>
      </c>
    </row>
    <row r="21">
      <c r="B21" s="4" t="inlineStr">
        <is>
          <t>• Sponsorship revenue dwarfs all costs after Month 5 — no ROI risk if a single channel lands.</t>
        </is>
      </c>
    </row>
  </sheetData>
  <mergeCells count="8">
    <mergeCell ref="B13:C13"/>
    <mergeCell ref="B18:I18"/>
    <mergeCell ref="B21:I21"/>
    <mergeCell ref="B15:C15"/>
    <mergeCell ref="B2:I2"/>
    <mergeCell ref="B20:I20"/>
    <mergeCell ref="B19:I19"/>
    <mergeCell ref="B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30" customWidth="1" min="4" max="4"/>
    <col width="50" customWidth="1" min="5" max="5"/>
  </cols>
  <sheetData>
    <row r="2" ht="26" customHeight="1">
      <c r="B2" s="1" t="inlineStr">
        <is>
          <t>KEY MILESTONES</t>
        </is>
      </c>
    </row>
    <row r="4">
      <c r="C4" s="8" t="inlineStr">
        <is>
          <t>Day</t>
        </is>
      </c>
      <c r="D4" s="8" t="inlineStr">
        <is>
          <t>Date</t>
        </is>
      </c>
      <c r="E4" s="8" t="inlineStr">
        <is>
          <t>Milestone</t>
        </is>
      </c>
      <c r="F4" s="8" t="inlineStr">
        <is>
          <t>Why it matters</t>
        </is>
      </c>
    </row>
    <row r="5">
      <c r="C5" s="33" t="n">
        <v>5</v>
      </c>
      <c r="D5" s="10" t="inlineStr">
        <is>
          <t>2026-04-21</t>
        </is>
      </c>
      <c r="E5" s="13" t="inlineStr">
        <is>
          <t>First Reddit long-form video uploaded</t>
        </is>
      </c>
      <c r="F5" s="15" t="inlineStr">
        <is>
          <t>Validates the core pipeline end-to-end on production</t>
        </is>
      </c>
    </row>
    <row r="6">
      <c r="C6" s="33" t="n">
        <v>14</v>
      </c>
      <c r="D6" s="10" t="inlineStr">
        <is>
          <t>2026-04-30</t>
        </is>
      </c>
      <c r="E6" s="13" t="inlineStr">
        <is>
          <t>7 Reddit videos published, 100+ subs</t>
        </is>
      </c>
      <c r="F6" s="15" t="inlineStr">
        <is>
          <t>Earliest signal for algorithm pickup; decides if format works</t>
        </is>
      </c>
    </row>
    <row r="7">
      <c r="C7" s="33" t="n">
        <v>28</v>
      </c>
      <c r="D7" s="10" t="inlineStr">
        <is>
          <t>2026-05-14</t>
        </is>
      </c>
      <c r="E7" s="13" t="inlineStr">
        <is>
          <t>Reddit channel: 500 subs, 2k watch hours</t>
        </is>
      </c>
      <c r="F7" s="15" t="inlineStr">
        <is>
          <t>Halfway to YPP — serious growth signal</t>
        </is>
      </c>
    </row>
    <row r="8">
      <c r="C8" s="33" t="n">
        <v>45</v>
      </c>
      <c r="D8" s="10" t="inlineStr">
        <is>
          <t>2026-05-31</t>
        </is>
      </c>
      <c r="E8" s="13" t="inlineStr">
        <is>
          <t>Reddit channel monetized (YPP)</t>
        </is>
      </c>
      <c r="F8" s="15" t="inlineStr">
        <is>
          <t>First real ad revenue — unlocks reinvestment</t>
        </is>
      </c>
    </row>
    <row r="9">
      <c r="C9" s="33" t="n">
        <v>50</v>
      </c>
      <c r="D9" s="10" t="inlineStr">
        <is>
          <t>2026-06-05</t>
        </is>
      </c>
      <c r="E9" s="13" t="inlineStr">
        <is>
          <t>HasanAbi Archive back to daily cadence</t>
        </is>
      </c>
      <c r="F9" s="15" t="inlineStr">
        <is>
          <t>Second revenue stream; different audience</t>
        </is>
      </c>
    </row>
    <row r="10">
      <c r="C10" s="33" t="n">
        <v>60</v>
      </c>
      <c r="D10" s="10" t="inlineStr">
        <is>
          <t>2026-06-15</t>
        </is>
      </c>
      <c r="E10" s="13" t="inlineStr">
        <is>
          <t>$500/month across all channels</t>
        </is>
      </c>
      <c r="F10" s="15" t="inlineStr">
        <is>
          <t>Break-even on all costs for the project</t>
        </is>
      </c>
    </row>
    <row r="11">
      <c r="C11" s="33" t="n">
        <v>75</v>
      </c>
      <c r="D11" s="10" t="inlineStr">
        <is>
          <t>2026-06-30</t>
        </is>
      </c>
      <c r="E11" s="13" t="inlineStr">
        <is>
          <t>Cozy Ambient passive-income stream live</t>
        </is>
      </c>
      <c r="F11" s="15" t="inlineStr">
        <is>
          <t>Set-and-forget revenue; lowest-attention channel</t>
        </is>
      </c>
    </row>
    <row r="12">
      <c r="C12" s="33" t="n">
        <v>90</v>
      </c>
      <c r="D12" s="10" t="inlineStr">
        <is>
          <t>2026-07-15</t>
        </is>
      </c>
      <c r="E12" s="13" t="inlineStr">
        <is>
          <t>Peanut TikTok viral attempt: 1M total views</t>
        </is>
      </c>
      <c r="F12" s="15" t="inlineStr">
        <is>
          <t>TikTok algorithm win or clear format failure</t>
        </is>
      </c>
    </row>
    <row r="13">
      <c r="C13" s="33" t="n">
        <v>105</v>
      </c>
      <c r="D13" s="10" t="inlineStr">
        <is>
          <t>2026-07-30</t>
        </is>
      </c>
      <c r="E13" s="13" t="inlineStr">
        <is>
          <t>First sponsorship deal ($500+)</t>
        </is>
      </c>
      <c r="F13" s="15" t="inlineStr">
        <is>
          <t>Signals channel has commercial viability</t>
        </is>
      </c>
    </row>
    <row r="14">
      <c r="C14" s="33" t="n">
        <v>120</v>
      </c>
      <c r="D14" s="10" t="inlineStr">
        <is>
          <t>2026-08-14</t>
        </is>
      </c>
      <c r="E14" s="13" t="inlineStr">
        <is>
          <t>$3,000/month portfolio</t>
        </is>
      </c>
      <c r="F14" s="15" t="inlineStr">
        <is>
          <t>Part-time income replacement milestone</t>
        </is>
      </c>
    </row>
    <row r="15">
      <c r="C15" s="33" t="n">
        <v>135</v>
      </c>
      <c r="D15" s="10" t="inlineStr">
        <is>
          <t>2026-08-29</t>
        </is>
      </c>
      <c r="E15" s="13" t="inlineStr">
        <is>
          <t>At least one channel at 50k subs</t>
        </is>
      </c>
      <c r="F15" s="15" t="inlineStr">
        <is>
          <t>Unlocks larger sponsorship tier ($1-3k/video)</t>
        </is>
      </c>
    </row>
    <row r="16">
      <c r="C16" s="33" t="n">
        <v>150</v>
      </c>
      <c r="D16" s="10" t="inlineStr">
        <is>
          <t>2026-09-13</t>
        </is>
      </c>
      <c r="E16" s="13" t="inlineStr">
        <is>
          <t>$8,000/month — Patreon + memberships live</t>
        </is>
      </c>
      <c r="F16" s="15" t="inlineStr">
        <is>
          <t>De-risks dependence on YouTube AdSense</t>
        </is>
      </c>
    </row>
    <row r="17">
      <c r="C17" s="33" t="n">
        <v>165</v>
      </c>
      <c r="D17" s="10" t="inlineStr">
        <is>
          <t>2026-09-28</t>
        </is>
      </c>
      <c r="E17" s="13" t="inlineStr">
        <is>
          <t>2+ channels with dedicated sponsorship deals</t>
        </is>
      </c>
      <c r="F17" s="15" t="inlineStr">
        <is>
          <t>Recurring non-ad revenue</t>
        </is>
      </c>
    </row>
    <row r="18">
      <c r="C18" s="33" t="n">
        <v>180</v>
      </c>
      <c r="D18" s="10" t="inlineStr">
        <is>
          <t>2026-10-13</t>
        </is>
      </c>
      <c r="E18" s="13" t="inlineStr">
        <is>
          <t>$20,000/month target</t>
        </is>
      </c>
      <c r="F18" s="15" t="inlineStr">
        <is>
          <t>Goal state — 9 channels, diversified, largely hands-off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56" customWidth="1" min="6" max="6"/>
    <col width="16" customWidth="1" min="7" max="7"/>
    <col width="10" customWidth="1" min="8" max="8"/>
    <col width="6" customWidth="1" min="9" max="9"/>
    <col width="30" customWidth="1" min="10" max="10"/>
    <col width="12" customWidth="1" min="11" max="11"/>
  </cols>
  <sheetData>
    <row r="1">
      <c r="A1" s="34" t="inlineStr">
        <is>
          <t>Day</t>
        </is>
      </c>
      <c r="B1" s="34" t="inlineStr">
        <is>
          <t>Date</t>
        </is>
      </c>
      <c r="C1" s="34" t="inlineStr">
        <is>
          <t>Week</t>
        </is>
      </c>
      <c r="D1" s="34" t="inlineStr">
        <is>
          <t>Month</t>
        </is>
      </c>
      <c r="E1" s="34" t="inlineStr">
        <is>
          <t>Phase</t>
        </is>
      </c>
      <c r="F1" s="34" t="inlineStr">
        <is>
          <t>Task</t>
        </is>
      </c>
      <c r="G1" s="34" t="inlineStr">
        <is>
          <t>Category</t>
        </is>
      </c>
      <c r="H1" s="34" t="inlineStr">
        <is>
          <t>Priority</t>
        </is>
      </c>
      <c r="I1" s="34" t="inlineStr">
        <is>
          <t>Hrs</t>
        </is>
      </c>
      <c r="J1" s="34" t="inlineStr">
        <is>
          <t>Dependencies</t>
        </is>
      </c>
      <c r="K1" s="34" t="inlineStr">
        <is>
          <t>Status</t>
        </is>
      </c>
    </row>
    <row r="2">
      <c r="A2" s="10" t="n">
        <v>1</v>
      </c>
      <c r="B2" s="10" t="inlineStr">
        <is>
          <t>2026-04-17</t>
        </is>
      </c>
      <c r="C2" s="10" t="n">
        <v>1</v>
      </c>
      <c r="D2" s="10" t="n">
        <v>1</v>
      </c>
      <c r="E2" s="10" t="inlineStr">
        <is>
          <t>1. Foundation</t>
        </is>
      </c>
      <c r="F2" s="15" t="inlineStr">
        <is>
          <t>Register Reddit app (or signup Scrape.do free tier) + add creds to .env</t>
        </is>
      </c>
      <c r="G2" s="35" t="inlineStr">
        <is>
          <t>Infra</t>
        </is>
      </c>
      <c r="H2" s="36" t="inlineStr">
        <is>
          <t>P0</t>
        </is>
      </c>
      <c r="I2" s="10" t="n">
        <v>0.5</v>
      </c>
      <c r="J2" s="15" t="inlineStr"/>
      <c r="K2" s="10" t="inlineStr">
        <is>
          <t>Not started</t>
        </is>
      </c>
    </row>
    <row r="3">
      <c r="A3" s="10" t="n">
        <v>2</v>
      </c>
      <c r="B3" s="10" t="inlineStr">
        <is>
          <t>2026-04-18</t>
        </is>
      </c>
      <c r="C3" s="10" t="n">
        <v>1</v>
      </c>
      <c r="D3" s="10" t="n">
        <v>1</v>
      </c>
      <c r="E3" s="10" t="inlineStr">
        <is>
          <t>1. Foundation</t>
        </is>
      </c>
      <c r="F3" s="15" t="inlineStr">
        <is>
          <t>Wire scraping API into scheduler/reddit_pipeline.py + local test</t>
        </is>
      </c>
      <c r="G3" s="35" t="inlineStr">
        <is>
          <t>Infra</t>
        </is>
      </c>
      <c r="H3" s="36" t="inlineStr">
        <is>
          <t>P0</t>
        </is>
      </c>
      <c r="I3" s="10" t="n">
        <v>2</v>
      </c>
      <c r="J3" s="15" t="inlineStr">
        <is>
          <t>Day 1 creds</t>
        </is>
      </c>
      <c r="K3" s="10" t="inlineStr">
        <is>
          <t>Not started</t>
        </is>
      </c>
    </row>
    <row r="4">
      <c r="A4" s="10" t="n">
        <v>3</v>
      </c>
      <c r="B4" s="10" t="inlineStr">
        <is>
          <t>2026-04-19</t>
        </is>
      </c>
      <c r="C4" s="10" t="n">
        <v>1</v>
      </c>
      <c r="D4" s="10" t="n">
        <v>1</v>
      </c>
      <c r="E4" s="10" t="inlineStr">
        <is>
          <t>1. Foundation</t>
        </is>
      </c>
      <c r="F4" s="15" t="inlineStr">
        <is>
          <t>Upload .env to VPS, pull latest, run --run-once reddit_stories end-to-end</t>
        </is>
      </c>
      <c r="G4" s="35" t="inlineStr">
        <is>
          <t>Infra</t>
        </is>
      </c>
      <c r="H4" s="36" t="inlineStr">
        <is>
          <t>P0</t>
        </is>
      </c>
      <c r="I4" s="10" t="n">
        <v>1.5</v>
      </c>
      <c r="J4" s="15" t="inlineStr">
        <is>
          <t>Day 2</t>
        </is>
      </c>
      <c r="K4" s="10" t="inlineStr">
        <is>
          <t>Not started</t>
        </is>
      </c>
    </row>
    <row r="5">
      <c r="A5" s="10" t="n">
        <v>4</v>
      </c>
      <c r="B5" s="10" t="inlineStr">
        <is>
          <t>2026-04-20</t>
        </is>
      </c>
      <c r="C5" s="10" t="n">
        <v>1</v>
      </c>
      <c r="D5" s="10" t="n">
        <v>1</v>
      </c>
      <c r="E5" s="10" t="inlineStr">
        <is>
          <t>1. Foundation</t>
        </is>
      </c>
      <c r="F5" s="15" t="inlineStr">
        <is>
          <t>Register Google Cloud project + create YouTube OAuth client for reddit_stories</t>
        </is>
      </c>
      <c r="G5" s="35" t="inlineStr">
        <is>
          <t>Infra</t>
        </is>
      </c>
      <c r="H5" s="36" t="inlineStr">
        <is>
          <t>P0</t>
        </is>
      </c>
      <c r="I5" s="10" t="n">
        <v>1</v>
      </c>
      <c r="J5" s="15" t="inlineStr"/>
      <c r="K5" s="10" t="inlineStr">
        <is>
          <t>Not started</t>
        </is>
      </c>
    </row>
    <row r="6">
      <c r="A6" s="10" t="n">
        <v>5</v>
      </c>
      <c r="B6" s="10" t="inlineStr">
        <is>
          <t>2026-04-21</t>
        </is>
      </c>
      <c r="C6" s="10" t="n">
        <v>1</v>
      </c>
      <c r="D6" s="10" t="n">
        <v>1</v>
      </c>
      <c r="E6" s="10" t="inlineStr">
        <is>
          <t>1. Foundation</t>
        </is>
      </c>
      <c r="F6" s="15" t="inlineStr">
        <is>
          <t>Run OAuth flow, land token on VPS, trigger first real upload</t>
        </is>
      </c>
      <c r="G6" s="11" t="inlineStr">
        <is>
          <t>Content</t>
        </is>
      </c>
      <c r="H6" s="36" t="inlineStr">
        <is>
          <t>P0</t>
        </is>
      </c>
      <c r="I6" s="10" t="n">
        <v>1.5</v>
      </c>
      <c r="J6" s="15" t="inlineStr">
        <is>
          <t>Day 4</t>
        </is>
      </c>
      <c r="K6" s="10" t="inlineStr">
        <is>
          <t>Not started</t>
        </is>
      </c>
    </row>
    <row r="7">
      <c r="A7" s="10" t="n">
        <v>6</v>
      </c>
      <c r="B7" s="10" t="inlineStr">
        <is>
          <t>2026-04-22</t>
        </is>
      </c>
      <c r="C7" s="10" t="n">
        <v>1</v>
      </c>
      <c r="D7" s="10" t="n">
        <v>1</v>
      </c>
      <c r="E7" s="10" t="inlineStr">
        <is>
          <t>1. Foundation</t>
        </is>
      </c>
      <c r="F7" s="15" t="inlineStr">
        <is>
          <t>Observe first video performance, fix any failure modes surfaced</t>
        </is>
      </c>
      <c r="G7" s="37" t="inlineStr">
        <is>
          <t>Analytics</t>
        </is>
      </c>
      <c r="H7" s="38" t="inlineStr">
        <is>
          <t>P1</t>
        </is>
      </c>
      <c r="I7" s="10" t="n">
        <v>1</v>
      </c>
      <c r="J7" s="15" t="inlineStr">
        <is>
          <t>Day 5</t>
        </is>
      </c>
      <c r="K7" s="10" t="inlineStr">
        <is>
          <t>Not started</t>
        </is>
      </c>
    </row>
    <row r="8">
      <c r="A8" s="10" t="n">
        <v>7</v>
      </c>
      <c r="B8" s="10" t="inlineStr">
        <is>
          <t>2026-04-23</t>
        </is>
      </c>
      <c r="C8" s="10" t="n">
        <v>1</v>
      </c>
      <c r="D8" s="10" t="n">
        <v>1</v>
      </c>
      <c r="E8" s="10" t="inlineStr">
        <is>
          <t>1. Foundation</t>
        </is>
      </c>
      <c r="F8" s="15" t="inlineStr">
        <is>
          <t>Install systemd timer for daily 08:00 UTC scheduler run</t>
        </is>
      </c>
      <c r="G8" s="35" t="inlineStr">
        <is>
          <t>Infra</t>
        </is>
      </c>
      <c r="H8" s="36" t="inlineStr">
        <is>
          <t>P0</t>
        </is>
      </c>
      <c r="I8" s="10" t="n">
        <v>1</v>
      </c>
      <c r="J8" s="15" t="inlineStr">
        <is>
          <t>Day 5</t>
        </is>
      </c>
      <c r="K8" s="10" t="inlineStr">
        <is>
          <t>Not started</t>
        </is>
      </c>
    </row>
    <row r="9">
      <c r="A9" s="10" t="n">
        <v>8</v>
      </c>
      <c r="B9" s="10" t="inlineStr">
        <is>
          <t>2026-04-24</t>
        </is>
      </c>
      <c r="C9" s="10" t="n">
        <v>2</v>
      </c>
      <c r="D9" s="10" t="n">
        <v>1</v>
      </c>
      <c r="E9" s="10" t="inlineStr">
        <is>
          <t>1. Foundation</t>
        </is>
      </c>
      <c r="F9" s="15" t="inlineStr">
        <is>
          <t>Design thumbnail template (red-circle + emoji + big-text formula)</t>
        </is>
      </c>
      <c r="G9" s="39" t="inlineStr">
        <is>
          <t>Optimization</t>
        </is>
      </c>
      <c r="H9" s="38" t="inlineStr">
        <is>
          <t>P1</t>
        </is>
      </c>
      <c r="I9" s="10" t="n">
        <v>2</v>
      </c>
      <c r="J9" s="15" t="inlineStr"/>
      <c r="K9" s="10" t="inlineStr">
        <is>
          <t>Not started</t>
        </is>
      </c>
    </row>
    <row r="10">
      <c r="A10" s="10" t="n">
        <v>9</v>
      </c>
      <c r="B10" s="10" t="inlineStr">
        <is>
          <t>2026-04-25</t>
        </is>
      </c>
      <c r="C10" s="10" t="n">
        <v>2</v>
      </c>
      <c r="D10" s="10" t="n">
        <v>1</v>
      </c>
      <c r="E10" s="10" t="inlineStr">
        <is>
          <t>1. Foundation</t>
        </is>
      </c>
      <c r="F10" s="15" t="inlineStr">
        <is>
          <t>Write scripts/generate_thumbnail.py (DALL-E or PIL compositing)</t>
        </is>
      </c>
      <c r="G10" s="39" t="inlineStr">
        <is>
          <t>Optimization</t>
        </is>
      </c>
      <c r="H10" s="38" t="inlineStr">
        <is>
          <t>P1</t>
        </is>
      </c>
      <c r="I10" s="10" t="n">
        <v>3</v>
      </c>
      <c r="J10" s="15" t="inlineStr">
        <is>
          <t>Day 8</t>
        </is>
      </c>
      <c r="K10" s="10" t="inlineStr">
        <is>
          <t>Not started</t>
        </is>
      </c>
    </row>
    <row r="11">
      <c r="A11" s="10" t="n">
        <v>10</v>
      </c>
      <c r="B11" s="10" t="inlineStr">
        <is>
          <t>2026-04-26</t>
        </is>
      </c>
      <c r="C11" s="10" t="n">
        <v>2</v>
      </c>
      <c r="D11" s="10" t="n">
        <v>1</v>
      </c>
      <c r="E11" s="10" t="inlineStr">
        <is>
          <t>1. Foundation</t>
        </is>
      </c>
      <c r="F11" s="15" t="inlineStr">
        <is>
          <t>Wire thumbnail generator into reddit_pipeline, set as YT upload thumbnail</t>
        </is>
      </c>
      <c r="G11" s="39" t="inlineStr">
        <is>
          <t>Optimization</t>
        </is>
      </c>
      <c r="H11" s="38" t="inlineStr">
        <is>
          <t>P1</t>
        </is>
      </c>
      <c r="I11" s="10" t="n">
        <v>1.5</v>
      </c>
      <c r="J11" s="15" t="inlineStr">
        <is>
          <t>Day 9</t>
        </is>
      </c>
      <c r="K11" s="10" t="inlineStr">
        <is>
          <t>Not started</t>
        </is>
      </c>
    </row>
    <row r="12">
      <c r="A12" s="10" t="n">
        <v>11</v>
      </c>
      <c r="B12" s="10" t="inlineStr">
        <is>
          <t>2026-04-27</t>
        </is>
      </c>
      <c r="C12" s="10" t="n">
        <v>2</v>
      </c>
      <c r="D12" s="10" t="n">
        <v>1</v>
      </c>
      <c r="E12" s="10" t="inlineStr">
        <is>
          <t>1. Foundation</t>
        </is>
      </c>
      <c r="F12" s="15" t="inlineStr">
        <is>
          <t>Download 20 free gameplay clips from Pexels + archive.org (Minecraft/Subway Surfers)</t>
        </is>
      </c>
      <c r="G12" s="11" t="inlineStr">
        <is>
          <t>Content</t>
        </is>
      </c>
      <c r="H12" s="38" t="inlineStr">
        <is>
          <t>P1</t>
        </is>
      </c>
      <c r="I12" s="10" t="n">
        <v>2</v>
      </c>
      <c r="J12" s="15" t="inlineStr"/>
      <c r="K12" s="10" t="inlineStr">
        <is>
          <t>Not started</t>
        </is>
      </c>
    </row>
    <row r="13">
      <c r="A13" s="10" t="n">
        <v>12</v>
      </c>
      <c r="B13" s="10" t="inlineStr">
        <is>
          <t>2026-04-28</t>
        </is>
      </c>
      <c r="C13" s="10" t="n">
        <v>2</v>
      </c>
      <c r="D13" s="10" t="n">
        <v>1</v>
      </c>
      <c r="E13" s="10" t="inlineStr">
        <is>
          <t>1. Foundation</t>
        </is>
      </c>
      <c r="F13" s="15" t="inlineStr">
        <is>
          <t>Replace gradient background with gameplay clip rotation in composite</t>
        </is>
      </c>
      <c r="G13" s="39" t="inlineStr">
        <is>
          <t>Optimization</t>
        </is>
      </c>
      <c r="H13" s="38" t="inlineStr">
        <is>
          <t>P1</t>
        </is>
      </c>
      <c r="I13" s="10" t="n">
        <v>1.5</v>
      </c>
      <c r="J13" s="15" t="inlineStr">
        <is>
          <t>Day 11</t>
        </is>
      </c>
      <c r="K13" s="10" t="inlineStr">
        <is>
          <t>Not started</t>
        </is>
      </c>
    </row>
    <row r="14">
      <c r="A14" s="10" t="n">
        <v>13</v>
      </c>
      <c r="B14" s="10" t="inlineStr">
        <is>
          <t>2026-04-29</t>
        </is>
      </c>
      <c r="C14" s="10" t="n">
        <v>2</v>
      </c>
      <c r="D14" s="10" t="n">
        <v>1</v>
      </c>
      <c r="E14" s="10" t="inlineStr">
        <is>
          <t>1. Foundation</t>
        </is>
      </c>
      <c r="F14" s="15" t="inlineStr">
        <is>
          <t>Watch 3 videos of competitors (PRIVATE DIARY, Reddit Tales, Lost Genre), note format</t>
        </is>
      </c>
      <c r="G14" s="37" t="inlineStr">
        <is>
          <t>Analytics</t>
        </is>
      </c>
      <c r="H14" s="28" t="inlineStr">
        <is>
          <t>P2</t>
        </is>
      </c>
      <c r="I14" s="10" t="n">
        <v>1.5</v>
      </c>
      <c r="J14" s="15" t="inlineStr"/>
      <c r="K14" s="10" t="inlineStr">
        <is>
          <t>Not started</t>
        </is>
      </c>
    </row>
    <row r="15">
      <c r="A15" s="10" t="n">
        <v>14</v>
      </c>
      <c r="B15" s="10" t="inlineStr">
        <is>
          <t>2026-04-30</t>
        </is>
      </c>
      <c r="C15" s="10" t="n">
        <v>2</v>
      </c>
      <c r="D15" s="10" t="n">
        <v>1</v>
      </c>
      <c r="E15" s="10" t="inlineStr">
        <is>
          <t>1. Foundation</t>
        </is>
      </c>
      <c r="F15" s="15" t="inlineStr">
        <is>
          <t>Week-2 retro: what works, what to cut. Push any fixes.</t>
        </is>
      </c>
      <c r="G15" s="37" t="inlineStr">
        <is>
          <t>Analytics</t>
        </is>
      </c>
      <c r="H15" s="38" t="inlineStr">
        <is>
          <t>P1</t>
        </is>
      </c>
      <c r="I15" s="10" t="n">
        <v>1.5</v>
      </c>
      <c r="J15" s="15" t="inlineStr">
        <is>
          <t>Day 7-13 outputs</t>
        </is>
      </c>
      <c r="K15" s="10" t="inlineStr">
        <is>
          <t>Not started</t>
        </is>
      </c>
    </row>
    <row r="16">
      <c r="A16" s="10" t="n">
        <v>15</v>
      </c>
      <c r="B16" s="10" t="inlineStr">
        <is>
          <t>2026-05-01</t>
        </is>
      </c>
      <c r="C16" s="10" t="n">
        <v>3</v>
      </c>
      <c r="D16" s="10" t="n">
        <v>1</v>
      </c>
      <c r="E16" s="10" t="inlineStr">
        <is>
          <t>2. First Channel</t>
        </is>
      </c>
      <c r="F16" s="15" t="inlineStr">
        <is>
          <t>A/B test thumbnail formula A vs B on two back-to-back uploads</t>
        </is>
      </c>
      <c r="G16" s="39" t="inlineStr">
        <is>
          <t>Optimization</t>
        </is>
      </c>
      <c r="H16" s="38" t="inlineStr">
        <is>
          <t>P1</t>
        </is>
      </c>
      <c r="I16" s="10" t="n">
        <v>1</v>
      </c>
      <c r="J16" s="15" t="inlineStr">
        <is>
          <t>thumbnails</t>
        </is>
      </c>
      <c r="K16" s="10" t="inlineStr">
        <is>
          <t>Not started</t>
        </is>
      </c>
    </row>
    <row r="17">
      <c r="A17" s="10" t="n">
        <v>16</v>
      </c>
      <c r="B17" s="10" t="inlineStr">
        <is>
          <t>2026-05-02</t>
        </is>
      </c>
      <c r="C17" s="10" t="n">
        <v>3</v>
      </c>
      <c r="D17" s="10" t="n">
        <v>1</v>
      </c>
      <c r="E17" s="10" t="inlineStr">
        <is>
          <t>2. First Channel</t>
        </is>
      </c>
      <c r="F17" s="15" t="inlineStr">
        <is>
          <t>Implement retention-based title rewriter (LLM generates 3 variants)</t>
        </is>
      </c>
      <c r="G17" s="39" t="inlineStr">
        <is>
          <t>Optimization</t>
        </is>
      </c>
      <c r="H17" s="38" t="inlineStr">
        <is>
          <t>P1</t>
        </is>
      </c>
      <c r="I17" s="10" t="n">
        <v>2</v>
      </c>
      <c r="J17" s="15" t="inlineStr"/>
      <c r="K17" s="10" t="inlineStr">
        <is>
          <t>Not started</t>
        </is>
      </c>
    </row>
    <row r="18">
      <c r="A18" s="10" t="n">
        <v>17</v>
      </c>
      <c r="B18" s="10" t="inlineStr">
        <is>
          <t>2026-05-03</t>
        </is>
      </c>
      <c r="C18" s="10" t="n">
        <v>3</v>
      </c>
      <c r="D18" s="10" t="n">
        <v>1</v>
      </c>
      <c r="E18" s="10" t="inlineStr">
        <is>
          <t>2. First Channel</t>
        </is>
      </c>
      <c r="F18" s="15" t="inlineStr">
        <is>
          <t>Observe 48hr data on A/B thumbnails — keep winner formula</t>
        </is>
      </c>
      <c r="G18" s="37" t="inlineStr">
        <is>
          <t>Analytics</t>
        </is>
      </c>
      <c r="H18" s="38" t="inlineStr">
        <is>
          <t>P1</t>
        </is>
      </c>
      <c r="I18" s="10" t="n">
        <v>0.5</v>
      </c>
      <c r="J18" s="15" t="inlineStr">
        <is>
          <t>Day 15</t>
        </is>
      </c>
      <c r="K18" s="10" t="inlineStr">
        <is>
          <t>Not started</t>
        </is>
      </c>
    </row>
    <row r="19">
      <c r="A19" s="10" t="n">
        <v>18</v>
      </c>
      <c r="B19" s="10" t="inlineStr">
        <is>
          <t>2026-05-04</t>
        </is>
      </c>
      <c r="C19" s="10" t="n">
        <v>3</v>
      </c>
      <c r="D19" s="10" t="n">
        <v>1</v>
      </c>
      <c r="E19" s="10" t="inlineStr">
        <is>
          <t>2. First Channel</t>
        </is>
      </c>
      <c r="F19" s="15" t="inlineStr">
        <is>
          <t>Tune story truncation: aim for 9-13 min target (sweet spot for retention)</t>
        </is>
      </c>
      <c r="G19" s="39" t="inlineStr">
        <is>
          <t>Optimization</t>
        </is>
      </c>
      <c r="H19" s="38" t="inlineStr">
        <is>
          <t>P1</t>
        </is>
      </c>
      <c r="I19" s="10" t="n">
        <v>1</v>
      </c>
      <c r="J19" s="15" t="inlineStr"/>
      <c r="K19" s="10" t="inlineStr">
        <is>
          <t>Not started</t>
        </is>
      </c>
    </row>
    <row r="20">
      <c r="A20" s="10" t="n">
        <v>19</v>
      </c>
      <c r="B20" s="10" t="inlineStr">
        <is>
          <t>2026-05-05</t>
        </is>
      </c>
      <c r="C20" s="10" t="n">
        <v>3</v>
      </c>
      <c r="D20" s="10" t="n">
        <v>1</v>
      </c>
      <c r="E20" s="10" t="inlineStr">
        <is>
          <t>2. First Channel</t>
        </is>
      </c>
      <c r="F20" s="15" t="inlineStr">
        <is>
          <t>Build Shorts extractor: take top moments from long-form → 60s verticals</t>
        </is>
      </c>
      <c r="G20" s="35" t="inlineStr">
        <is>
          <t>Infra</t>
        </is>
      </c>
      <c r="H20" s="38" t="inlineStr">
        <is>
          <t>P1</t>
        </is>
      </c>
      <c r="I20" s="10" t="n">
        <v>3</v>
      </c>
      <c r="J20" s="15" t="inlineStr"/>
      <c r="K20" s="10" t="inlineStr">
        <is>
          <t>Not started</t>
        </is>
      </c>
    </row>
    <row r="21">
      <c r="A21" s="10" t="n">
        <v>20</v>
      </c>
      <c r="B21" s="10" t="inlineStr">
        <is>
          <t>2026-05-06</t>
        </is>
      </c>
      <c r="C21" s="10" t="n">
        <v>3</v>
      </c>
      <c r="D21" s="10" t="n">
        <v>1</v>
      </c>
      <c r="E21" s="10" t="inlineStr">
        <is>
          <t>2. First Channel</t>
        </is>
      </c>
      <c r="F21" s="15" t="inlineStr">
        <is>
          <t>LAUNCH Reddit Shorts channel: first 3 verticals uploaded manually</t>
        </is>
      </c>
      <c r="G21" s="11" t="inlineStr">
        <is>
          <t>Content</t>
        </is>
      </c>
      <c r="H21" s="36" t="inlineStr">
        <is>
          <t>P0</t>
        </is>
      </c>
      <c r="I21" s="10" t="n">
        <v>2</v>
      </c>
      <c r="J21" s="15" t="inlineStr">
        <is>
          <t>Day 19</t>
        </is>
      </c>
      <c r="K21" s="10" t="inlineStr">
        <is>
          <t>Not started</t>
        </is>
      </c>
    </row>
    <row r="22">
      <c r="A22" s="10" t="n">
        <v>21</v>
      </c>
      <c r="B22" s="10" t="inlineStr">
        <is>
          <t>2026-05-07</t>
        </is>
      </c>
      <c r="C22" s="10" t="n">
        <v>3</v>
      </c>
      <c r="D22" s="10" t="n">
        <v>1</v>
      </c>
      <c r="E22" s="10" t="inlineStr">
        <is>
          <t>2. First Channel</t>
        </is>
      </c>
      <c r="F22" s="15" t="inlineStr">
        <is>
          <t>Hands-off day — let algorithm do its thing, no tweaks</t>
        </is>
      </c>
      <c r="G22" s="40" t="inlineStr">
        <is>
          <t>Rest</t>
        </is>
      </c>
      <c r="H22" s="28" t="inlineStr">
        <is>
          <t>P2</t>
        </is>
      </c>
      <c r="I22" s="10" t="n">
        <v>0</v>
      </c>
      <c r="J22" s="15" t="inlineStr"/>
      <c r="K22" s="10" t="inlineStr">
        <is>
          <t>Not started</t>
        </is>
      </c>
    </row>
    <row r="23">
      <c r="A23" s="10" t="n">
        <v>22</v>
      </c>
      <c r="B23" s="10" t="inlineStr">
        <is>
          <t>2026-05-08</t>
        </is>
      </c>
      <c r="C23" s="10" t="n">
        <v>4</v>
      </c>
      <c r="D23" s="10" t="n">
        <v>1</v>
      </c>
      <c r="E23" s="10" t="inlineStr">
        <is>
          <t>2. First Channel</t>
        </is>
      </c>
      <c r="F23" s="15" t="inlineStr">
        <is>
          <t>Review 7-day retention curve per video, identify drop-off patterns</t>
        </is>
      </c>
      <c r="G23" s="37" t="inlineStr">
        <is>
          <t>Analytics</t>
        </is>
      </c>
      <c r="H23" s="38" t="inlineStr">
        <is>
          <t>P1</t>
        </is>
      </c>
      <c r="I23" s="10" t="n">
        <v>1.5</v>
      </c>
      <c r="J23" s="15" t="inlineStr"/>
      <c r="K23" s="10" t="inlineStr">
        <is>
          <t>Not started</t>
        </is>
      </c>
    </row>
    <row r="24">
      <c r="A24" s="10" t="n">
        <v>23</v>
      </c>
      <c r="B24" s="10" t="inlineStr">
        <is>
          <t>2026-05-09</t>
        </is>
      </c>
      <c r="C24" s="10" t="n">
        <v>4</v>
      </c>
      <c r="D24" s="10" t="n">
        <v>1</v>
      </c>
      <c r="E24" s="10" t="inlineStr">
        <is>
          <t>2. First Channel</t>
        </is>
      </c>
      <c r="F24" s="15" t="inlineStr">
        <is>
          <t>Apply retention fix: reduce intro, stronger cold-open hook</t>
        </is>
      </c>
      <c r="G24" s="39" t="inlineStr">
        <is>
          <t>Optimization</t>
        </is>
      </c>
      <c r="H24" s="38" t="inlineStr">
        <is>
          <t>P1</t>
        </is>
      </c>
      <c r="I24" s="10" t="n">
        <v>1.5</v>
      </c>
      <c r="J24" s="15" t="inlineStr">
        <is>
          <t>Day 22</t>
        </is>
      </c>
      <c r="K24" s="10" t="inlineStr">
        <is>
          <t>Not started</t>
        </is>
      </c>
    </row>
    <row r="25">
      <c r="A25" s="10" t="n">
        <v>24</v>
      </c>
      <c r="B25" s="10" t="inlineStr">
        <is>
          <t>2026-05-10</t>
        </is>
      </c>
      <c r="C25" s="10" t="n">
        <v>4</v>
      </c>
      <c r="D25" s="10" t="n">
        <v>1</v>
      </c>
      <c r="E25" s="10" t="inlineStr">
        <is>
          <t>2. First Channel</t>
        </is>
      </c>
      <c r="F25" s="15" t="inlineStr">
        <is>
          <t>Build analytics dashboard refresh script (daily YT Data API pull)</t>
        </is>
      </c>
      <c r="G25" s="37" t="inlineStr">
        <is>
          <t>Analytics</t>
        </is>
      </c>
      <c r="H25" s="38" t="inlineStr">
        <is>
          <t>P1</t>
        </is>
      </c>
      <c r="I25" s="10" t="n">
        <v>2</v>
      </c>
      <c r="J25" s="15" t="inlineStr"/>
      <c r="K25" s="10" t="inlineStr">
        <is>
          <t>Not started</t>
        </is>
      </c>
    </row>
    <row r="26">
      <c r="A26" s="10" t="n">
        <v>25</v>
      </c>
      <c r="B26" s="10" t="inlineStr">
        <is>
          <t>2026-05-11</t>
        </is>
      </c>
      <c r="C26" s="10" t="n">
        <v>4</v>
      </c>
      <c r="D26" s="10" t="n">
        <v>1</v>
      </c>
      <c r="E26" s="10" t="inlineStr">
        <is>
          <t>2. First Channel</t>
        </is>
      </c>
      <c r="F26" s="15" t="inlineStr">
        <is>
          <t>Wire dashboard refresh into GitHub Action, runs daily 09:00</t>
        </is>
      </c>
      <c r="G26" s="35" t="inlineStr">
        <is>
          <t>Infra</t>
        </is>
      </c>
      <c r="H26" s="38" t="inlineStr">
        <is>
          <t>P1</t>
        </is>
      </c>
      <c r="I26" s="10" t="n">
        <v>1</v>
      </c>
      <c r="J26" s="15" t="inlineStr">
        <is>
          <t>Day 24</t>
        </is>
      </c>
      <c r="K26" s="10" t="inlineStr">
        <is>
          <t>Not started</t>
        </is>
      </c>
    </row>
    <row r="27">
      <c r="A27" s="10" t="n">
        <v>26</v>
      </c>
      <c r="B27" s="10" t="inlineStr">
        <is>
          <t>2026-05-12</t>
        </is>
      </c>
      <c r="C27" s="10" t="n">
        <v>4</v>
      </c>
      <c r="D27" s="10" t="n">
        <v>1</v>
      </c>
      <c r="E27" s="10" t="inlineStr">
        <is>
          <t>2. First Channel</t>
        </is>
      </c>
      <c r="F27" s="15" t="inlineStr">
        <is>
          <t>Engage first 50 commenters (pin, reply, hearts) — 15 min on each channel</t>
        </is>
      </c>
      <c r="G27" s="30" t="inlineStr">
        <is>
          <t>Marketing</t>
        </is>
      </c>
      <c r="H27" s="38" t="inlineStr">
        <is>
          <t>P1</t>
        </is>
      </c>
      <c r="I27" s="10" t="n">
        <v>1</v>
      </c>
      <c r="J27" s="15" t="inlineStr"/>
      <c r="K27" s="10" t="inlineStr">
        <is>
          <t>Not started</t>
        </is>
      </c>
    </row>
    <row r="28">
      <c r="A28" s="10" t="n">
        <v>27</v>
      </c>
      <c r="B28" s="10" t="inlineStr">
        <is>
          <t>2026-05-13</t>
        </is>
      </c>
      <c r="C28" s="10" t="n">
        <v>4</v>
      </c>
      <c r="D28" s="10" t="n">
        <v>1</v>
      </c>
      <c r="E28" s="10" t="inlineStr">
        <is>
          <t>2. First Channel</t>
        </is>
      </c>
      <c r="F28" s="15" t="inlineStr">
        <is>
          <t>Test monetization eligibility check via YT Studio on reddit_stories</t>
        </is>
      </c>
      <c r="G28" s="37" t="inlineStr">
        <is>
          <t>Analytics</t>
        </is>
      </c>
      <c r="H28" s="38" t="inlineStr">
        <is>
          <t>P1</t>
        </is>
      </c>
      <c r="I28" s="10" t="n">
        <v>0.5</v>
      </c>
      <c r="J28" s="15" t="inlineStr"/>
      <c r="K28" s="10" t="inlineStr">
        <is>
          <t>Not started</t>
        </is>
      </c>
    </row>
    <row r="29">
      <c r="A29" s="10" t="n">
        <v>28</v>
      </c>
      <c r="B29" s="10" t="inlineStr">
        <is>
          <t>2026-05-14</t>
        </is>
      </c>
      <c r="C29" s="10" t="n">
        <v>4</v>
      </c>
      <c r="D29" s="10" t="n">
        <v>1</v>
      </c>
      <c r="E29" s="10" t="inlineStr">
        <is>
          <t>2. First Channel</t>
        </is>
      </c>
      <c r="F29" s="15" t="inlineStr">
        <is>
          <t>End of Phase 2: retro doc in docs/retros/phase2.md (metrics + learnings)</t>
        </is>
      </c>
      <c r="G29" s="37" t="inlineStr">
        <is>
          <t>Analytics</t>
        </is>
      </c>
      <c r="H29" s="38" t="inlineStr">
        <is>
          <t>P1</t>
        </is>
      </c>
      <c r="I29" s="10" t="n">
        <v>1</v>
      </c>
      <c r="J29" s="15" t="inlineStr"/>
      <c r="K29" s="10" t="inlineStr">
        <is>
          <t>Not started</t>
        </is>
      </c>
    </row>
    <row r="30">
      <c r="A30" s="10" t="n">
        <v>29</v>
      </c>
      <c r="B30" s="10" t="inlineStr">
        <is>
          <t>2026-05-15</t>
        </is>
      </c>
      <c r="C30" s="10" t="n">
        <v>5</v>
      </c>
      <c r="D30" s="10" t="n">
        <v>1</v>
      </c>
      <c r="E30" s="10" t="inlineStr">
        <is>
          <t>3. Production</t>
        </is>
      </c>
      <c r="F30" s="15" t="inlineStr">
        <is>
          <t>Fix uk_clips yt-dlp + ffmpeg errors (7 historical failures in pipeline.db)</t>
        </is>
      </c>
      <c r="G30" s="35" t="inlineStr">
        <is>
          <t>Infra</t>
        </is>
      </c>
      <c r="H30" s="36" t="inlineStr">
        <is>
          <t>P0</t>
        </is>
      </c>
      <c r="I30" s="10" t="n">
        <v>2.5</v>
      </c>
      <c r="J30" s="15" t="inlineStr"/>
      <c r="K30" s="10" t="inlineStr">
        <is>
          <t>Not started</t>
        </is>
      </c>
    </row>
    <row r="31">
      <c r="A31" s="10" t="n">
        <v>30</v>
      </c>
      <c r="B31" s="10" t="inlineStr">
        <is>
          <t>2026-05-16</t>
        </is>
      </c>
      <c r="C31" s="10" t="n">
        <v>5</v>
      </c>
      <c r="D31" s="10" t="n">
        <v>1</v>
      </c>
      <c r="E31" s="10" t="inlineStr">
        <is>
          <t>3. Production</t>
        </is>
      </c>
      <c r="F31" s="15" t="inlineStr">
        <is>
          <t>Run Peanut Reacts (Sidemen) pipeline on one recent playlist video end-to-end</t>
        </is>
      </c>
      <c r="G31" s="11" t="inlineStr">
        <is>
          <t>Content</t>
        </is>
      </c>
      <c r="H31" s="36" t="inlineStr">
        <is>
          <t>P0</t>
        </is>
      </c>
      <c r="I31" s="10" t="n">
        <v>2</v>
      </c>
      <c r="J31" s="15" t="inlineStr">
        <is>
          <t>d29</t>
        </is>
      </c>
      <c r="K31" s="10" t="inlineStr">
        <is>
          <t>Not started</t>
        </is>
      </c>
    </row>
    <row r="32">
      <c r="A32" s="10" t="n">
        <v>31</v>
      </c>
      <c r="B32" s="10" t="inlineStr">
        <is>
          <t>2026-05-17</t>
        </is>
      </c>
      <c r="C32" s="10" t="n">
        <v>5</v>
      </c>
      <c r="D32" s="10" t="n">
        <v>2</v>
      </c>
      <c r="E32" s="10" t="inlineStr">
        <is>
          <t>3. Production</t>
        </is>
      </c>
      <c r="F32" s="15" t="inlineStr">
        <is>
          <t>Upload first Sidemen reaction video to uk_clips YouTube channel</t>
        </is>
      </c>
      <c r="G32" s="11" t="inlineStr">
        <is>
          <t>Content</t>
        </is>
      </c>
      <c r="H32" s="36" t="inlineStr">
        <is>
          <t>P0</t>
        </is>
      </c>
      <c r="I32" s="10" t="n">
        <v>1</v>
      </c>
      <c r="J32" s="15" t="inlineStr">
        <is>
          <t>d30</t>
        </is>
      </c>
      <c r="K32" s="10" t="inlineStr">
        <is>
          <t>Not started</t>
        </is>
      </c>
    </row>
    <row r="33">
      <c r="A33" s="10" t="n">
        <v>32</v>
      </c>
      <c r="B33" s="10" t="inlineStr">
        <is>
          <t>2026-05-18</t>
        </is>
      </c>
      <c r="C33" s="10" t="n">
        <v>5</v>
      </c>
      <c r="D33" s="10" t="n">
        <v>2</v>
      </c>
      <c r="E33" s="10" t="inlineStr">
        <is>
          <t>3. Production</t>
        </is>
      </c>
      <c r="F33" s="15" t="inlineStr">
        <is>
          <t>Write scripts/rotate_character.py — same pipeline, different persona/voice</t>
        </is>
      </c>
      <c r="G33" s="35" t="inlineStr">
        <is>
          <t>Infra</t>
        </is>
      </c>
      <c r="H33" s="38" t="inlineStr">
        <is>
          <t>P1</t>
        </is>
      </c>
      <c r="I33" s="10" t="n">
        <v>1.5</v>
      </c>
      <c r="J33" s="15" t="inlineStr"/>
      <c r="K33" s="10" t="inlineStr">
        <is>
          <t>Not started</t>
        </is>
      </c>
    </row>
    <row r="34">
      <c r="A34" s="10" t="n">
        <v>33</v>
      </c>
      <c r="B34" s="10" t="inlineStr">
        <is>
          <t>2026-05-19</t>
        </is>
      </c>
      <c r="C34" s="10" t="n">
        <v>5</v>
      </c>
      <c r="D34" s="10" t="n">
        <v>2</v>
      </c>
      <c r="E34" s="10" t="inlineStr">
        <is>
          <t>3. Production</t>
        </is>
      </c>
      <c r="F34" s="15" t="inlineStr">
        <is>
          <t>Dashboard: add revenue/views projection vs actual chart</t>
        </is>
      </c>
      <c r="G34" s="37" t="inlineStr">
        <is>
          <t>Analytics</t>
        </is>
      </c>
      <c r="H34" s="28" t="inlineStr">
        <is>
          <t>P2</t>
        </is>
      </c>
      <c r="I34" s="10" t="n">
        <v>2</v>
      </c>
      <c r="J34" s="15" t="inlineStr"/>
      <c r="K34" s="10" t="inlineStr">
        <is>
          <t>Not started</t>
        </is>
      </c>
    </row>
    <row r="35">
      <c r="A35" s="10" t="n">
        <v>34</v>
      </c>
      <c r="B35" s="10" t="inlineStr">
        <is>
          <t>2026-05-20</t>
        </is>
      </c>
      <c r="C35" s="10" t="n">
        <v>5</v>
      </c>
      <c r="D35" s="10" t="n">
        <v>2</v>
      </c>
      <c r="E35" s="10" t="inlineStr">
        <is>
          <t>3. Production</t>
        </is>
      </c>
      <c r="F35" s="15" t="inlineStr">
        <is>
          <t>Shorts: pull 3 shorts from Sidemen reaction, upload TikTok + Shorts</t>
        </is>
      </c>
      <c r="G35" s="11" t="inlineStr">
        <is>
          <t>Content</t>
        </is>
      </c>
      <c r="H35" s="38" t="inlineStr">
        <is>
          <t>P1</t>
        </is>
      </c>
      <c r="I35" s="10" t="n">
        <v>1.5</v>
      </c>
      <c r="J35" s="15" t="inlineStr">
        <is>
          <t>d30</t>
        </is>
      </c>
      <c r="K35" s="10" t="inlineStr">
        <is>
          <t>Not started</t>
        </is>
      </c>
    </row>
    <row r="36">
      <c r="A36" s="10" t="n">
        <v>35</v>
      </c>
      <c r="B36" s="10" t="inlineStr">
        <is>
          <t>2026-05-21</t>
        </is>
      </c>
      <c r="C36" s="10" t="n">
        <v>5</v>
      </c>
      <c r="D36" s="10" t="n">
        <v>2</v>
      </c>
      <c r="E36" s="10" t="inlineStr">
        <is>
          <t>3. Production</t>
        </is>
      </c>
      <c r="F36" s="15" t="inlineStr">
        <is>
          <t>Daily ops: check all channel jobs succeeded overnight, fix failures</t>
        </is>
      </c>
      <c r="G36" s="41" t="inlineStr">
        <is>
          <t>Ops</t>
        </is>
      </c>
      <c r="H36" s="38" t="inlineStr">
        <is>
          <t>P1</t>
        </is>
      </c>
      <c r="I36" s="10" t="n">
        <v>0.5</v>
      </c>
      <c r="J36" s="15" t="inlineStr"/>
      <c r="K36" s="10" t="inlineStr">
        <is>
          <t>Not started</t>
        </is>
      </c>
    </row>
    <row r="37">
      <c r="A37" s="10" t="n">
        <v>36</v>
      </c>
      <c r="B37" s="10" t="inlineStr">
        <is>
          <t>2026-05-22</t>
        </is>
      </c>
      <c r="C37" s="10" t="n">
        <v>6</v>
      </c>
      <c r="D37" s="10" t="n">
        <v>2</v>
      </c>
      <c r="E37" s="10" t="inlineStr">
        <is>
          <t>3. Production</t>
        </is>
      </c>
      <c r="F37" s="15" t="inlineStr">
        <is>
          <t>Watch 3 competitor recent videos, extract 3 title/thumb patterns to copy</t>
        </is>
      </c>
      <c r="G37" s="30" t="inlineStr">
        <is>
          <t>Marketing</t>
        </is>
      </c>
      <c r="H37" s="28" t="inlineStr">
        <is>
          <t>P2</t>
        </is>
      </c>
      <c r="I37" s="10" t="n">
        <v>1</v>
      </c>
      <c r="J37" s="15" t="inlineStr"/>
      <c r="K37" s="10" t="inlineStr">
        <is>
          <t>Not started</t>
        </is>
      </c>
    </row>
    <row r="38">
      <c r="A38" s="10" t="n">
        <v>37</v>
      </c>
      <c r="B38" s="10" t="inlineStr">
        <is>
          <t>2026-05-23</t>
        </is>
      </c>
      <c r="C38" s="10" t="n">
        <v>6</v>
      </c>
      <c r="D38" s="10" t="n">
        <v>2</v>
      </c>
      <c r="E38" s="10" t="inlineStr">
        <is>
          <t>3. Production</t>
        </is>
      </c>
      <c r="F38" s="15" t="inlineStr">
        <is>
          <t>Re-tune LLM prompt for Reddit narration — more punchy hooks based on retention data</t>
        </is>
      </c>
      <c r="G38" s="39" t="inlineStr">
        <is>
          <t>Optimization</t>
        </is>
      </c>
      <c r="H38" s="38" t="inlineStr">
        <is>
          <t>P1</t>
        </is>
      </c>
      <c r="I38" s="10" t="n">
        <v>2</v>
      </c>
      <c r="J38" s="15" t="inlineStr"/>
      <c r="K38" s="10" t="inlineStr">
        <is>
          <t>Not started</t>
        </is>
      </c>
    </row>
    <row r="39">
      <c r="A39" s="10" t="n">
        <v>38</v>
      </c>
      <c r="B39" s="10" t="inlineStr">
        <is>
          <t>2026-05-24</t>
        </is>
      </c>
      <c r="C39" s="10" t="n">
        <v>6</v>
      </c>
      <c r="D39" s="10" t="n">
        <v>2</v>
      </c>
      <c r="E39" s="10" t="inlineStr">
        <is>
          <t>3. Production</t>
        </is>
      </c>
      <c r="F39" s="15" t="inlineStr">
        <is>
          <t>Benchmark run: render 2-hour Sidemen compilation with new peanut</t>
        </is>
      </c>
      <c r="G39" s="11" t="inlineStr">
        <is>
          <t>Content</t>
        </is>
      </c>
      <c r="H39" s="38" t="inlineStr">
        <is>
          <t>P1</t>
        </is>
      </c>
      <c r="I39" s="10" t="n">
        <v>3</v>
      </c>
      <c r="J39" s="15" t="inlineStr"/>
      <c r="K39" s="10" t="inlineStr">
        <is>
          <t>Not started</t>
        </is>
      </c>
    </row>
    <row r="40">
      <c r="A40" s="10" t="n">
        <v>39</v>
      </c>
      <c r="B40" s="10" t="inlineStr">
        <is>
          <t>2026-05-25</t>
        </is>
      </c>
      <c r="C40" s="10" t="n">
        <v>6</v>
      </c>
      <c r="D40" s="10" t="n">
        <v>2</v>
      </c>
      <c r="E40" s="10" t="inlineStr">
        <is>
          <t>3. Production</t>
        </is>
      </c>
      <c r="F40" s="15" t="inlineStr">
        <is>
          <t>Upload compilation to uk_clips, schedule for 9am next morning</t>
        </is>
      </c>
      <c r="G40" s="11" t="inlineStr">
        <is>
          <t>Content</t>
        </is>
      </c>
      <c r="H40" s="38" t="inlineStr">
        <is>
          <t>P1</t>
        </is>
      </c>
      <c r="I40" s="10" t="n">
        <v>0.5</v>
      </c>
      <c r="J40" s="15" t="inlineStr">
        <is>
          <t>d38</t>
        </is>
      </c>
      <c r="K40" s="10" t="inlineStr">
        <is>
          <t>Not started</t>
        </is>
      </c>
    </row>
    <row r="41">
      <c r="A41" s="10" t="n">
        <v>40</v>
      </c>
      <c r="B41" s="10" t="inlineStr">
        <is>
          <t>2026-05-26</t>
        </is>
      </c>
      <c r="C41" s="10" t="n">
        <v>6</v>
      </c>
      <c r="D41" s="10" t="n">
        <v>2</v>
      </c>
      <c r="E41" s="10" t="inlineStr">
        <is>
          <t>3. Production</t>
        </is>
      </c>
      <c r="F41" s="15" t="inlineStr">
        <is>
          <t>Start HasanAbi Archive daily cadence (fix any bugs blocking d10-14 production)</t>
        </is>
      </c>
      <c r="G41" s="11" t="inlineStr">
        <is>
          <t>Content</t>
        </is>
      </c>
      <c r="H41" s="36" t="inlineStr">
        <is>
          <t>P0</t>
        </is>
      </c>
      <c r="I41" s="10" t="n">
        <v>2</v>
      </c>
      <c r="J41" s="15" t="inlineStr"/>
      <c r="K41" s="10" t="inlineStr">
        <is>
          <t>Not started</t>
        </is>
      </c>
    </row>
    <row r="42">
      <c r="A42" s="10" t="n">
        <v>41</v>
      </c>
      <c r="B42" s="10" t="inlineStr">
        <is>
          <t>2026-05-27</t>
        </is>
      </c>
      <c r="C42" s="10" t="n">
        <v>6</v>
      </c>
      <c r="D42" s="10" t="n">
        <v>2</v>
      </c>
      <c r="E42" s="10" t="inlineStr">
        <is>
          <t>3. Production</t>
        </is>
      </c>
      <c r="F42" s="15" t="inlineStr">
        <is>
          <t>Daily ops + engagement — reply to top 10 comments on each active channel</t>
        </is>
      </c>
      <c r="G42" s="30" t="inlineStr">
        <is>
          <t>Marketing</t>
        </is>
      </c>
      <c r="H42" s="38" t="inlineStr">
        <is>
          <t>P1</t>
        </is>
      </c>
      <c r="I42" s="10" t="n">
        <v>1</v>
      </c>
      <c r="J42" s="15" t="inlineStr"/>
      <c r="K42" s="10" t="inlineStr">
        <is>
          <t>Not started</t>
        </is>
      </c>
    </row>
    <row r="43">
      <c r="A43" s="10" t="n">
        <v>42</v>
      </c>
      <c r="B43" s="10" t="inlineStr">
        <is>
          <t>2026-05-28</t>
        </is>
      </c>
      <c r="C43" s="10" t="n">
        <v>6</v>
      </c>
      <c r="D43" s="10" t="n">
        <v>2</v>
      </c>
      <c r="E43" s="10" t="inlineStr">
        <is>
          <t>3. Production</t>
        </is>
      </c>
      <c r="F43" s="15" t="inlineStr">
        <is>
          <t>A/B test: peanut-in-frame vs no-peanut on Reddit Shorts (visual variant test)</t>
        </is>
      </c>
      <c r="G43" s="39" t="inlineStr">
        <is>
          <t>Optimization</t>
        </is>
      </c>
      <c r="H43" s="38" t="inlineStr">
        <is>
          <t>P1</t>
        </is>
      </c>
      <c r="I43" s="10" t="n">
        <v>1.5</v>
      </c>
      <c r="J43" s="15" t="inlineStr"/>
      <c r="K43" s="10" t="inlineStr">
        <is>
          <t>Not started</t>
        </is>
      </c>
    </row>
    <row r="44">
      <c r="A44" s="10" t="n">
        <v>43</v>
      </c>
      <c r="B44" s="10" t="inlineStr">
        <is>
          <t>2026-05-29</t>
        </is>
      </c>
      <c r="C44" s="10" t="n">
        <v>7</v>
      </c>
      <c r="D44" s="10" t="n">
        <v>2</v>
      </c>
      <c r="E44" s="10" t="inlineStr">
        <is>
          <t>3. Production</t>
        </is>
      </c>
      <c r="F44" s="15" t="inlineStr">
        <is>
          <t>Measure CTR improvement from thumbnail v2 vs v1 across 10-video window</t>
        </is>
      </c>
      <c r="G44" s="37" t="inlineStr">
        <is>
          <t>Analytics</t>
        </is>
      </c>
      <c r="H44" s="38" t="inlineStr">
        <is>
          <t>P1</t>
        </is>
      </c>
      <c r="I44" s="10" t="n">
        <v>1</v>
      </c>
      <c r="J44" s="15" t="inlineStr"/>
      <c r="K44" s="10" t="inlineStr">
        <is>
          <t>Not started</t>
        </is>
      </c>
    </row>
    <row r="45">
      <c r="A45" s="10" t="n">
        <v>44</v>
      </c>
      <c r="B45" s="10" t="inlineStr">
        <is>
          <t>2026-05-30</t>
        </is>
      </c>
      <c r="C45" s="10" t="n">
        <v>7</v>
      </c>
      <c r="D45" s="10" t="n">
        <v>2</v>
      </c>
      <c r="E45" s="10" t="inlineStr">
        <is>
          <t>3. Production</t>
        </is>
      </c>
      <c r="F45" s="15" t="inlineStr">
        <is>
          <t>Write channel-specific posting schedule doc + set YT premieres</t>
        </is>
      </c>
      <c r="G45" s="41" t="inlineStr">
        <is>
          <t>Ops</t>
        </is>
      </c>
      <c r="H45" s="38" t="inlineStr">
        <is>
          <t>P1</t>
        </is>
      </c>
      <c r="I45" s="10" t="n">
        <v>1</v>
      </c>
      <c r="J45" s="15" t="inlineStr"/>
      <c r="K45" s="10" t="inlineStr">
        <is>
          <t>Not started</t>
        </is>
      </c>
    </row>
    <row r="46">
      <c r="A46" s="10" t="n">
        <v>45</v>
      </c>
      <c r="B46" s="10" t="inlineStr">
        <is>
          <t>2026-05-31</t>
        </is>
      </c>
      <c r="C46" s="10" t="n">
        <v>7</v>
      </c>
      <c r="D46" s="10" t="n">
        <v>2</v>
      </c>
      <c r="E46" s="10" t="inlineStr">
        <is>
          <t>3. Production</t>
        </is>
      </c>
      <c r="F46" s="15" t="inlineStr">
        <is>
          <t>Light day — measurement + community replies only</t>
        </is>
      </c>
      <c r="G46" s="40" t="inlineStr">
        <is>
          <t>Rest</t>
        </is>
      </c>
      <c r="H46" s="28" t="inlineStr">
        <is>
          <t>P2</t>
        </is>
      </c>
      <c r="I46" s="10" t="n">
        <v>0.5</v>
      </c>
      <c r="J46" s="15" t="inlineStr"/>
      <c r="K46" s="10" t="inlineStr">
        <is>
          <t>Not started</t>
        </is>
      </c>
    </row>
    <row r="47">
      <c r="A47" s="10" t="n">
        <v>46</v>
      </c>
      <c r="B47" s="10" t="inlineStr">
        <is>
          <t>2026-06-01</t>
        </is>
      </c>
      <c r="C47" s="10" t="n">
        <v>7</v>
      </c>
      <c r="D47" s="10" t="n">
        <v>2</v>
      </c>
      <c r="E47" s="10" t="inlineStr">
        <is>
          <t>3. Production</t>
        </is>
      </c>
      <c r="F47" s="15" t="inlineStr">
        <is>
          <t>Sidemen compilation performance review at 72hr (views, retention, CTR)</t>
        </is>
      </c>
      <c r="G47" s="37" t="inlineStr">
        <is>
          <t>Analytics</t>
        </is>
      </c>
      <c r="H47" s="38" t="inlineStr">
        <is>
          <t>P1</t>
        </is>
      </c>
      <c r="I47" s="10" t="n">
        <v>1</v>
      </c>
      <c r="J47" s="15" t="inlineStr">
        <is>
          <t>d38 upload</t>
        </is>
      </c>
      <c r="K47" s="10" t="inlineStr">
        <is>
          <t>Not started</t>
        </is>
      </c>
    </row>
    <row r="48">
      <c r="A48" s="10" t="n">
        <v>47</v>
      </c>
      <c r="B48" s="10" t="inlineStr">
        <is>
          <t>2026-06-02</t>
        </is>
      </c>
      <c r="C48" s="10" t="n">
        <v>7</v>
      </c>
      <c r="D48" s="10" t="n">
        <v>2</v>
      </c>
      <c r="E48" s="10" t="inlineStr">
        <is>
          <t>3. Production</t>
        </is>
      </c>
      <c r="F48" s="15" t="inlineStr">
        <is>
          <t>Generate next batch of Reddit narrations offline (seed 7 days of content)</t>
        </is>
      </c>
      <c r="G48" s="11" t="inlineStr">
        <is>
          <t>Content</t>
        </is>
      </c>
      <c r="H48" s="38" t="inlineStr">
        <is>
          <t>P1</t>
        </is>
      </c>
      <c r="I48" s="10" t="n">
        <v>2.5</v>
      </c>
      <c r="J48" s="15" t="inlineStr"/>
      <c r="K48" s="10" t="inlineStr">
        <is>
          <t>Not started</t>
        </is>
      </c>
    </row>
    <row r="49">
      <c r="A49" s="10" t="n">
        <v>48</v>
      </c>
      <c r="B49" s="10" t="inlineStr">
        <is>
          <t>2026-06-03</t>
        </is>
      </c>
      <c r="C49" s="10" t="n">
        <v>7</v>
      </c>
      <c r="D49" s="10" t="n">
        <v>2</v>
      </c>
      <c r="E49" s="10" t="inlineStr">
        <is>
          <t>3. Production</t>
        </is>
      </c>
      <c r="F49" s="15" t="inlineStr">
        <is>
          <t>Research + note 3 mid-tier competitors' sponsorship deals (Skillshare, BetterHelp, etc.)</t>
        </is>
      </c>
      <c r="G49" s="30" t="inlineStr">
        <is>
          <t>Marketing</t>
        </is>
      </c>
      <c r="H49" s="28" t="inlineStr">
        <is>
          <t>P2</t>
        </is>
      </c>
      <c r="I49" s="10" t="n">
        <v>1</v>
      </c>
      <c r="J49" s="15" t="inlineStr"/>
      <c r="K49" s="10" t="inlineStr">
        <is>
          <t>Not started</t>
        </is>
      </c>
    </row>
    <row r="50">
      <c r="A50" s="10" t="n">
        <v>49</v>
      </c>
      <c r="B50" s="10" t="inlineStr">
        <is>
          <t>2026-06-04</t>
        </is>
      </c>
      <c r="C50" s="10" t="n">
        <v>7</v>
      </c>
      <c r="D50" s="10" t="n">
        <v>2</v>
      </c>
      <c r="E50" s="10" t="inlineStr">
        <is>
          <t>3. Production</t>
        </is>
      </c>
      <c r="F50" s="15" t="inlineStr">
        <is>
          <t>Daily ops + spot-check oldest videos still getting views (evergreen signal)</t>
        </is>
      </c>
      <c r="G50" s="41" t="inlineStr">
        <is>
          <t>Ops</t>
        </is>
      </c>
      <c r="H50" s="38" t="inlineStr">
        <is>
          <t>P1</t>
        </is>
      </c>
      <c r="I50" s="10" t="n">
        <v>0.5</v>
      </c>
      <c r="J50" s="15" t="inlineStr"/>
      <c r="K50" s="10" t="inlineStr">
        <is>
          <t>Not started</t>
        </is>
      </c>
    </row>
    <row r="51">
      <c r="A51" s="10" t="n">
        <v>50</v>
      </c>
      <c r="B51" s="10" t="inlineStr">
        <is>
          <t>2026-06-05</t>
        </is>
      </c>
      <c r="C51" s="10" t="n">
        <v>8</v>
      </c>
      <c r="D51" s="10" t="n">
        <v>2</v>
      </c>
      <c r="E51" s="10" t="inlineStr">
        <is>
          <t>3. Production</t>
        </is>
      </c>
      <c r="F51" s="15" t="inlineStr">
        <is>
          <t>Dashboard: add per-channel RPM tracking (pulled from YT Studio)</t>
        </is>
      </c>
      <c r="G51" s="37" t="inlineStr">
        <is>
          <t>Analytics</t>
        </is>
      </c>
      <c r="H51" s="28" t="inlineStr">
        <is>
          <t>P2</t>
        </is>
      </c>
      <c r="I51" s="10" t="n">
        <v>1.5</v>
      </c>
      <c r="J51" s="15" t="inlineStr"/>
      <c r="K51" s="10" t="inlineStr">
        <is>
          <t>Not started</t>
        </is>
      </c>
    </row>
    <row r="52">
      <c r="A52" s="10" t="n">
        <v>51</v>
      </c>
      <c r="B52" s="10" t="inlineStr">
        <is>
          <t>2026-06-06</t>
        </is>
      </c>
      <c r="C52" s="10" t="n">
        <v>8</v>
      </c>
      <c r="D52" s="10" t="n">
        <v>2</v>
      </c>
      <c r="E52" s="10" t="inlineStr">
        <is>
          <t>3. Production</t>
        </is>
      </c>
      <c r="F52" s="15" t="inlineStr">
        <is>
          <t>Implement emotion-aware TTS chunking: slow down for shocks, speed up for rants</t>
        </is>
      </c>
      <c r="G52" s="39" t="inlineStr">
        <is>
          <t>Optimization</t>
        </is>
      </c>
      <c r="H52" s="28" t="inlineStr">
        <is>
          <t>P2</t>
        </is>
      </c>
      <c r="I52" s="10" t="n">
        <v>2</v>
      </c>
      <c r="J52" s="15" t="inlineStr"/>
      <c r="K52" s="10" t="inlineStr">
        <is>
          <t>Not started</t>
        </is>
      </c>
    </row>
    <row r="53">
      <c r="A53" s="10" t="n">
        <v>52</v>
      </c>
      <c r="B53" s="10" t="inlineStr">
        <is>
          <t>2026-06-07</t>
        </is>
      </c>
      <c r="C53" s="10" t="n">
        <v>8</v>
      </c>
      <c r="D53" s="10" t="n">
        <v>2</v>
      </c>
      <c r="E53" s="10" t="inlineStr">
        <is>
          <t>3. Production</t>
        </is>
      </c>
      <c r="F53" s="15" t="inlineStr">
        <is>
          <t>Shorts cadence bump: 5/day on Reddit Shorts if engagement holds</t>
        </is>
      </c>
      <c r="G53" s="11" t="inlineStr">
        <is>
          <t>Content</t>
        </is>
      </c>
      <c r="H53" s="38" t="inlineStr">
        <is>
          <t>P1</t>
        </is>
      </c>
      <c r="I53" s="10" t="n">
        <v>1.5</v>
      </c>
      <c r="J53" s="15" t="inlineStr"/>
      <c r="K53" s="10" t="inlineStr">
        <is>
          <t>Not started</t>
        </is>
      </c>
    </row>
    <row r="54">
      <c r="A54" s="10" t="n">
        <v>53</v>
      </c>
      <c r="B54" s="10" t="inlineStr">
        <is>
          <t>2026-06-08</t>
        </is>
      </c>
      <c r="C54" s="10" t="n">
        <v>8</v>
      </c>
      <c r="D54" s="10" t="n">
        <v>2</v>
      </c>
      <c r="E54" s="10" t="inlineStr">
        <is>
          <t>3. Production</t>
        </is>
      </c>
      <c r="F54" s="15" t="inlineStr">
        <is>
          <t>Hands-off observation day</t>
        </is>
      </c>
      <c r="G54" s="40" t="inlineStr">
        <is>
          <t>Rest</t>
        </is>
      </c>
      <c r="H54" s="28" t="inlineStr">
        <is>
          <t>P2</t>
        </is>
      </c>
      <c r="I54" s="10" t="n">
        <v>0</v>
      </c>
      <c r="J54" s="15" t="inlineStr"/>
      <c r="K54" s="10" t="inlineStr">
        <is>
          <t>Not started</t>
        </is>
      </c>
    </row>
    <row r="55">
      <c r="A55" s="10" t="n">
        <v>54</v>
      </c>
      <c r="B55" s="10" t="inlineStr">
        <is>
          <t>2026-06-09</t>
        </is>
      </c>
      <c r="C55" s="10" t="n">
        <v>8</v>
      </c>
      <c r="D55" s="10" t="n">
        <v>2</v>
      </c>
      <c r="E55" s="10" t="inlineStr">
        <is>
          <t>3. Production</t>
        </is>
      </c>
      <c r="F55" s="15" t="inlineStr">
        <is>
          <t>Write a post-mortem on any videos that flopped (&lt;500 views) this week</t>
        </is>
      </c>
      <c r="G55" s="37" t="inlineStr">
        <is>
          <t>Analytics</t>
        </is>
      </c>
      <c r="H55" s="38" t="inlineStr">
        <is>
          <t>P1</t>
        </is>
      </c>
      <c r="I55" s="10" t="n">
        <v>1.5</v>
      </c>
      <c r="J55" s="15" t="inlineStr"/>
      <c r="K55" s="10" t="inlineStr">
        <is>
          <t>Not started</t>
        </is>
      </c>
    </row>
    <row r="56">
      <c r="A56" s="10" t="n">
        <v>55</v>
      </c>
      <c r="B56" s="10" t="inlineStr">
        <is>
          <t>2026-06-10</t>
        </is>
      </c>
      <c r="C56" s="10" t="n">
        <v>8</v>
      </c>
      <c r="D56" s="10" t="n">
        <v>2</v>
      </c>
      <c r="E56" s="10" t="inlineStr">
        <is>
          <t>3. Production</t>
        </is>
      </c>
      <c r="F56" s="15" t="inlineStr">
        <is>
          <t>Polish facecam layout on Peanut Reacts — bigger peanut, better positioning</t>
        </is>
      </c>
      <c r="G56" s="39" t="inlineStr">
        <is>
          <t>Optimization</t>
        </is>
      </c>
      <c r="H56" s="28" t="inlineStr">
        <is>
          <t>P2</t>
        </is>
      </c>
      <c r="I56" s="10" t="n">
        <v>1.5</v>
      </c>
      <c r="J56" s="15" t="inlineStr"/>
      <c r="K56" s="10" t="inlineStr">
        <is>
          <t>Not started</t>
        </is>
      </c>
    </row>
    <row r="57">
      <c r="A57" s="10" t="n">
        <v>56</v>
      </c>
      <c r="B57" s="10" t="inlineStr">
        <is>
          <t>2026-06-11</t>
        </is>
      </c>
      <c r="C57" s="10" t="n">
        <v>8</v>
      </c>
      <c r="D57" s="10" t="n">
        <v>2</v>
      </c>
      <c r="E57" s="10" t="inlineStr">
        <is>
          <t>3. Production</t>
        </is>
      </c>
      <c r="F57" s="15" t="inlineStr">
        <is>
          <t>End of Phase 3 sprint: land Sidemen, HasanAbi, Reddit Stories all at daily cadence</t>
        </is>
      </c>
      <c r="G57" s="41" t="inlineStr">
        <is>
          <t>Ops</t>
        </is>
      </c>
      <c r="H57" s="36" t="inlineStr">
        <is>
          <t>P0</t>
        </is>
      </c>
      <c r="I57" s="10" t="n">
        <v>2</v>
      </c>
      <c r="J57" s="15" t="inlineStr"/>
      <c r="K57" s="10" t="inlineStr">
        <is>
          <t>Not started</t>
        </is>
      </c>
    </row>
    <row r="58">
      <c r="A58" s="10" t="n">
        <v>57</v>
      </c>
      <c r="B58" s="10" t="inlineStr">
        <is>
          <t>2026-06-12</t>
        </is>
      </c>
      <c r="C58" s="10" t="n">
        <v>9</v>
      </c>
      <c r="D58" s="10" t="n">
        <v>2</v>
      </c>
      <c r="E58" s="10" t="inlineStr">
        <is>
          <t>3. Production</t>
        </is>
      </c>
      <c r="F58" s="15" t="inlineStr">
        <is>
          <t>Big retrospective — rank channels by ROI (time spent vs $/views)</t>
        </is>
      </c>
      <c r="G58" s="37" t="inlineStr">
        <is>
          <t>Analytics</t>
        </is>
      </c>
      <c r="H58" s="36" t="inlineStr">
        <is>
          <t>P0</t>
        </is>
      </c>
      <c r="I58" s="10" t="n">
        <v>2.5</v>
      </c>
      <c r="J58" s="15" t="inlineStr"/>
      <c r="K58" s="10" t="inlineStr">
        <is>
          <t>Not started</t>
        </is>
      </c>
    </row>
    <row r="59">
      <c r="A59" s="10" t="n">
        <v>58</v>
      </c>
      <c r="B59" s="10" t="inlineStr">
        <is>
          <t>2026-06-13</t>
        </is>
      </c>
      <c r="C59" s="10" t="n">
        <v>9</v>
      </c>
      <c r="D59" s="10" t="n">
        <v>2</v>
      </c>
      <c r="E59" s="10" t="inlineStr">
        <is>
          <t>3. Production</t>
        </is>
      </c>
      <c r="F59" s="15" t="inlineStr">
        <is>
          <t>Kill underperforming content formats based on retro; invest in winners</t>
        </is>
      </c>
      <c r="G59" s="39" t="inlineStr">
        <is>
          <t>Optimization</t>
        </is>
      </c>
      <c r="H59" s="36" t="inlineStr">
        <is>
          <t>P0</t>
        </is>
      </c>
      <c r="I59" s="10" t="n">
        <v>1.5</v>
      </c>
      <c r="J59" s="15" t="inlineStr">
        <is>
          <t>d58</t>
        </is>
      </c>
      <c r="K59" s="10" t="inlineStr">
        <is>
          <t>Not started</t>
        </is>
      </c>
    </row>
    <row r="60">
      <c r="A60" s="10" t="n">
        <v>59</v>
      </c>
      <c r="B60" s="10" t="inlineStr">
        <is>
          <t>2026-06-14</t>
        </is>
      </c>
      <c r="C60" s="10" t="n">
        <v>9</v>
      </c>
      <c r="D60" s="10" t="n">
        <v>2</v>
      </c>
      <c r="E60" s="10" t="inlineStr">
        <is>
          <t>3. Production</t>
        </is>
      </c>
      <c r="F60" s="15" t="inlineStr">
        <is>
          <t>Write content calendar for Month 3 based on Phase-3 learnings</t>
        </is>
      </c>
      <c r="G60" s="41" t="inlineStr">
        <is>
          <t>Ops</t>
        </is>
      </c>
      <c r="H60" s="38" t="inlineStr">
        <is>
          <t>P1</t>
        </is>
      </c>
      <c r="I60" s="10" t="n">
        <v>1.5</v>
      </c>
      <c r="J60" s="15" t="inlineStr"/>
      <c r="K60" s="10" t="inlineStr">
        <is>
          <t>Not started</t>
        </is>
      </c>
    </row>
    <row r="61">
      <c r="A61" s="10" t="n">
        <v>60</v>
      </c>
      <c r="B61" s="10" t="inlineStr">
        <is>
          <t>2026-06-15</t>
        </is>
      </c>
      <c r="C61" s="10" t="n">
        <v>9</v>
      </c>
      <c r="D61" s="10" t="n">
        <v>2</v>
      </c>
      <c r="E61" s="10" t="inlineStr">
        <is>
          <t>3. Production</t>
        </is>
      </c>
      <c r="F61" s="15" t="inlineStr">
        <is>
          <t>Month 2 milestone check: $500/mo target across channels?</t>
        </is>
      </c>
      <c r="G61" s="37" t="inlineStr">
        <is>
          <t>Analytics</t>
        </is>
      </c>
      <c r="H61" s="36" t="inlineStr">
        <is>
          <t>P0</t>
        </is>
      </c>
      <c r="I61" s="10" t="n">
        <v>1</v>
      </c>
      <c r="J61" s="15" t="inlineStr"/>
      <c r="K61" s="10" t="inlineStr">
        <is>
          <t>Not started</t>
        </is>
      </c>
    </row>
    <row r="62">
      <c r="A62" s="10" t="n">
        <v>61</v>
      </c>
      <c r="B62" s="10" t="inlineStr">
        <is>
          <t>2026-06-16</t>
        </is>
      </c>
      <c r="C62" s="10" t="n">
        <v>9</v>
      </c>
      <c r="D62" s="10" t="n">
        <v>3</v>
      </c>
      <c r="E62" s="10" t="inlineStr">
        <is>
          <t>4. Portfolio</t>
        </is>
      </c>
      <c r="F62" s="15" t="inlineStr">
        <is>
          <t>Spin up Peanut Reacts (KSI) — clone Sidemen pipeline with new persona/voice</t>
        </is>
      </c>
      <c r="G62" s="35" t="inlineStr">
        <is>
          <t>Infra</t>
        </is>
      </c>
      <c r="H62" s="38" t="inlineStr">
        <is>
          <t>P1</t>
        </is>
      </c>
      <c r="I62" s="10" t="n">
        <v>3</v>
      </c>
      <c r="J62" s="15" t="inlineStr"/>
      <c r="K62" s="10" t="inlineStr">
        <is>
          <t>Not started</t>
        </is>
      </c>
    </row>
    <row r="63">
      <c r="A63" s="10" t="n">
        <v>62</v>
      </c>
      <c r="B63" s="10" t="inlineStr">
        <is>
          <t>2026-06-17</t>
        </is>
      </c>
      <c r="C63" s="10" t="n">
        <v>9</v>
      </c>
      <c r="D63" s="10" t="n">
        <v>3</v>
      </c>
      <c r="E63" s="10" t="inlineStr">
        <is>
          <t>4. Portfolio</t>
        </is>
      </c>
      <c r="F63" s="15" t="inlineStr">
        <is>
          <t>Upload first KSI reaction to peanut_ksi channel</t>
        </is>
      </c>
      <c r="G63" s="11" t="inlineStr">
        <is>
          <t>Content</t>
        </is>
      </c>
      <c r="H63" s="36" t="inlineStr">
        <is>
          <t>P0</t>
        </is>
      </c>
      <c r="I63" s="10" t="n">
        <v>1.5</v>
      </c>
      <c r="J63" s="15" t="inlineStr">
        <is>
          <t>d61</t>
        </is>
      </c>
      <c r="K63" s="10" t="inlineStr">
        <is>
          <t>Not started</t>
        </is>
      </c>
    </row>
    <row r="64">
      <c r="A64" s="10" t="n">
        <v>63</v>
      </c>
      <c r="B64" s="10" t="inlineStr">
        <is>
          <t>2026-06-18</t>
        </is>
      </c>
      <c r="C64" s="10" t="n">
        <v>9</v>
      </c>
      <c r="D64" s="10" t="n">
        <v>3</v>
      </c>
      <c r="E64" s="10" t="inlineStr">
        <is>
          <t>4. Portfolio</t>
        </is>
      </c>
      <c r="F64" s="15" t="inlineStr">
        <is>
          <t>Scale Reddit Shorts to 5/day — push automation to handle higher volume</t>
        </is>
      </c>
      <c r="G64" s="35" t="inlineStr">
        <is>
          <t>Infra</t>
        </is>
      </c>
      <c r="H64" s="38" t="inlineStr">
        <is>
          <t>P1</t>
        </is>
      </c>
      <c r="I64" s="10" t="n">
        <v>2</v>
      </c>
      <c r="J64" s="15" t="inlineStr"/>
      <c r="K64" s="10" t="inlineStr">
        <is>
          <t>Not started</t>
        </is>
      </c>
    </row>
    <row r="65">
      <c r="A65" s="10" t="n">
        <v>64</v>
      </c>
      <c r="B65" s="10" t="inlineStr">
        <is>
          <t>2026-06-19</t>
        </is>
      </c>
      <c r="C65" s="10" t="n">
        <v>10</v>
      </c>
      <c r="D65" s="10" t="n">
        <v>3</v>
      </c>
      <c r="E65" s="10" t="inlineStr">
        <is>
          <t>4. Portfolio</t>
        </is>
      </c>
      <c r="F65" s="15" t="inlineStr">
        <is>
          <t>Measure TikTok vs YouTube Shorts on same clip — which platform wins?</t>
        </is>
      </c>
      <c r="G65" s="37" t="inlineStr">
        <is>
          <t>Analytics</t>
        </is>
      </c>
      <c r="H65" s="38" t="inlineStr">
        <is>
          <t>P1</t>
        </is>
      </c>
      <c r="I65" s="10" t="n">
        <v>1</v>
      </c>
      <c r="J65" s="15" t="inlineStr"/>
      <c r="K65" s="10" t="inlineStr">
        <is>
          <t>Not started</t>
        </is>
      </c>
    </row>
    <row r="66">
      <c r="A66" s="10" t="n">
        <v>65</v>
      </c>
      <c r="B66" s="10" t="inlineStr">
        <is>
          <t>2026-06-20</t>
        </is>
      </c>
      <c r="C66" s="10" t="n">
        <v>10</v>
      </c>
      <c r="D66" s="10" t="n">
        <v>3</v>
      </c>
      <c r="E66" s="10" t="inlineStr">
        <is>
          <t>4. Portfolio</t>
        </is>
      </c>
      <c r="F66" s="15" t="inlineStr">
        <is>
          <t>Launch Peanut TikTok Reacts channel: 3 uploads to seed algorithm</t>
        </is>
      </c>
      <c r="G66" s="11" t="inlineStr">
        <is>
          <t>Content</t>
        </is>
      </c>
      <c r="H66" s="36" t="inlineStr">
        <is>
          <t>P0</t>
        </is>
      </c>
      <c r="I66" s="10" t="n">
        <v>2</v>
      </c>
      <c r="J66" s="15" t="inlineStr"/>
      <c r="K66" s="10" t="inlineStr">
        <is>
          <t>Not started</t>
        </is>
      </c>
    </row>
    <row r="67">
      <c r="A67" s="10" t="n">
        <v>66</v>
      </c>
      <c r="B67" s="10" t="inlineStr">
        <is>
          <t>2026-06-21</t>
        </is>
      </c>
      <c r="C67" s="10" t="n">
        <v>10</v>
      </c>
      <c r="D67" s="10" t="n">
        <v>3</v>
      </c>
      <c r="E67" s="10" t="inlineStr">
        <is>
          <t>4. Portfolio</t>
        </is>
      </c>
      <c r="F67" s="15" t="inlineStr">
        <is>
          <t>Daily ops + algorithm observation (focus: is content getting impressions?)</t>
        </is>
      </c>
      <c r="G67" s="41" t="inlineStr">
        <is>
          <t>Ops</t>
        </is>
      </c>
      <c r="H67" s="38" t="inlineStr">
        <is>
          <t>P1</t>
        </is>
      </c>
      <c r="I67" s="10" t="n">
        <v>0.75</v>
      </c>
      <c r="J67" s="15" t="inlineStr"/>
      <c r="K67" s="10" t="inlineStr">
        <is>
          <t>Not started</t>
        </is>
      </c>
    </row>
    <row r="68">
      <c r="A68" s="10" t="n">
        <v>67</v>
      </c>
      <c r="B68" s="10" t="inlineStr">
        <is>
          <t>2026-06-22</t>
        </is>
      </c>
      <c r="C68" s="10" t="n">
        <v>10</v>
      </c>
      <c r="D68" s="10" t="n">
        <v>3</v>
      </c>
      <c r="E68" s="10" t="inlineStr">
        <is>
          <t>4. Portfolio</t>
        </is>
      </c>
      <c r="F68" s="15" t="inlineStr">
        <is>
          <t>Light day — community replies, trending topic research</t>
        </is>
      </c>
      <c r="G68" s="30" t="inlineStr">
        <is>
          <t>Marketing</t>
        </is>
      </c>
      <c r="H68" s="28" t="inlineStr">
        <is>
          <t>P2</t>
        </is>
      </c>
      <c r="I68" s="10" t="n">
        <v>1</v>
      </c>
      <c r="J68" s="15" t="inlineStr"/>
      <c r="K68" s="10" t="inlineStr">
        <is>
          <t>Not started</t>
        </is>
      </c>
    </row>
    <row r="69">
      <c r="A69" s="10" t="n">
        <v>68</v>
      </c>
      <c r="B69" s="10" t="inlineStr">
        <is>
          <t>2026-06-23</t>
        </is>
      </c>
      <c r="C69" s="10" t="n">
        <v>10</v>
      </c>
      <c r="D69" s="10" t="n">
        <v>3</v>
      </c>
      <c r="E69" s="10" t="inlineStr">
        <is>
          <t>4. Portfolio</t>
        </is>
      </c>
      <c r="F69" s="15" t="inlineStr">
        <is>
          <t>Tune KSI reaction script: more kinetic hooks, faster pacing</t>
        </is>
      </c>
      <c r="G69" s="39" t="inlineStr">
        <is>
          <t>Optimization</t>
        </is>
      </c>
      <c r="H69" s="38" t="inlineStr">
        <is>
          <t>P1</t>
        </is>
      </c>
      <c r="I69" s="10" t="n">
        <v>1.5</v>
      </c>
      <c r="J69" s="15" t="inlineStr"/>
      <c r="K69" s="10" t="inlineStr">
        <is>
          <t>Not started</t>
        </is>
      </c>
    </row>
    <row r="70">
      <c r="A70" s="10" t="n">
        <v>69</v>
      </c>
      <c r="B70" s="10" t="inlineStr">
        <is>
          <t>2026-06-24</t>
        </is>
      </c>
      <c r="C70" s="10" t="n">
        <v>10</v>
      </c>
      <c r="D70" s="10" t="n">
        <v>3</v>
      </c>
      <c r="E70" s="10" t="inlineStr">
        <is>
          <t>4. Portfolio</t>
        </is>
      </c>
      <c r="F70" s="15" t="inlineStr">
        <is>
          <t>Research ambient/lofi channel music licensing (Epidemic Sound vs Royalty Free)</t>
        </is>
      </c>
      <c r="G70" s="30" t="inlineStr">
        <is>
          <t>Marketing</t>
        </is>
      </c>
      <c r="H70" s="38" t="inlineStr">
        <is>
          <t>P1</t>
        </is>
      </c>
      <c r="I70" s="10" t="n">
        <v>1.5</v>
      </c>
      <c r="J70" s="15" t="inlineStr"/>
      <c r="K70" s="10" t="inlineStr">
        <is>
          <t>Not started</t>
        </is>
      </c>
    </row>
    <row r="71">
      <c r="A71" s="10" t="n">
        <v>70</v>
      </c>
      <c r="B71" s="10" t="inlineStr">
        <is>
          <t>2026-06-25</t>
        </is>
      </c>
      <c r="C71" s="10" t="n">
        <v>10</v>
      </c>
      <c r="D71" s="10" t="n">
        <v>3</v>
      </c>
      <c r="E71" s="10" t="inlineStr">
        <is>
          <t>4. Portfolio</t>
        </is>
      </c>
      <c r="F71" s="15" t="inlineStr">
        <is>
          <t>Launch Cozy Ambient channel: 1st 8-hour rain video</t>
        </is>
      </c>
      <c r="G71" s="11" t="inlineStr">
        <is>
          <t>Content</t>
        </is>
      </c>
      <c r="H71" s="36" t="inlineStr">
        <is>
          <t>P0</t>
        </is>
      </c>
      <c r="I71" s="10" t="n">
        <v>2</v>
      </c>
      <c r="J71" s="15" t="inlineStr"/>
      <c r="K71" s="10" t="inlineStr">
        <is>
          <t>Not started</t>
        </is>
      </c>
    </row>
    <row r="72">
      <c r="A72" s="10" t="n">
        <v>71</v>
      </c>
      <c r="B72" s="10" t="inlineStr">
        <is>
          <t>2026-06-26</t>
        </is>
      </c>
      <c r="C72" s="10" t="n">
        <v>11</v>
      </c>
      <c r="D72" s="10" t="n">
        <v>3</v>
      </c>
      <c r="E72" s="10" t="inlineStr">
        <is>
          <t>4. Portfolio</t>
        </is>
      </c>
      <c r="F72" s="15" t="inlineStr">
        <is>
          <t>Measure first KSI video 72hr performance vs Sidemen baseline</t>
        </is>
      </c>
      <c r="G72" s="37" t="inlineStr">
        <is>
          <t>Analytics</t>
        </is>
      </c>
      <c r="H72" s="38" t="inlineStr">
        <is>
          <t>P1</t>
        </is>
      </c>
      <c r="I72" s="10" t="n">
        <v>1</v>
      </c>
      <c r="J72" s="15" t="inlineStr"/>
      <c r="K72" s="10" t="inlineStr">
        <is>
          <t>Not started</t>
        </is>
      </c>
    </row>
    <row r="73">
      <c r="A73" s="10" t="n">
        <v>72</v>
      </c>
      <c r="B73" s="10" t="inlineStr">
        <is>
          <t>2026-06-27</t>
        </is>
      </c>
      <c r="C73" s="10" t="n">
        <v>11</v>
      </c>
      <c r="D73" s="10" t="n">
        <v>3</v>
      </c>
      <c r="E73" s="10" t="inlineStr">
        <is>
          <t>4. Portfolio</t>
        </is>
      </c>
      <c r="F73" s="15" t="inlineStr">
        <is>
          <t>Scale Reddit Stories to 2 videos/day (experiment — stop if CTR drops)</t>
        </is>
      </c>
      <c r="G73" s="11" t="inlineStr">
        <is>
          <t>Content</t>
        </is>
      </c>
      <c r="H73" s="38" t="inlineStr">
        <is>
          <t>P1</t>
        </is>
      </c>
      <c r="I73" s="10" t="n">
        <v>1.5</v>
      </c>
      <c r="J73" s="15" t="inlineStr"/>
      <c r="K73" s="10" t="inlineStr">
        <is>
          <t>Not started</t>
        </is>
      </c>
    </row>
    <row r="74">
      <c r="A74" s="10" t="n">
        <v>73</v>
      </c>
      <c r="B74" s="10" t="inlineStr">
        <is>
          <t>2026-06-28</t>
        </is>
      </c>
      <c r="C74" s="10" t="n">
        <v>11</v>
      </c>
      <c r="D74" s="10" t="n">
        <v>3</v>
      </c>
      <c r="E74" s="10" t="inlineStr">
        <is>
          <t>4. Portfolio</t>
        </is>
      </c>
      <c r="F74" s="15" t="inlineStr">
        <is>
          <t>Build weekly sponsor outreach tracker sheet + CRM template</t>
        </is>
      </c>
      <c r="G74" s="30" t="inlineStr">
        <is>
          <t>Marketing</t>
        </is>
      </c>
      <c r="H74" s="38" t="inlineStr">
        <is>
          <t>P1</t>
        </is>
      </c>
      <c r="I74" s="10" t="n">
        <v>1.5</v>
      </c>
      <c r="J74" s="15" t="inlineStr"/>
      <c r="K74" s="10" t="inlineStr">
        <is>
          <t>Not started</t>
        </is>
      </c>
    </row>
    <row r="75">
      <c r="A75" s="10" t="n">
        <v>74</v>
      </c>
      <c r="B75" s="10" t="inlineStr">
        <is>
          <t>2026-06-29</t>
        </is>
      </c>
      <c r="C75" s="10" t="n">
        <v>11</v>
      </c>
      <c r="D75" s="10" t="n">
        <v>3</v>
      </c>
      <c r="E75" s="10" t="inlineStr">
        <is>
          <t>4. Portfolio</t>
        </is>
      </c>
      <c r="F75" s="15" t="inlineStr">
        <is>
          <t>Daily ops</t>
        </is>
      </c>
      <c r="G75" s="41" t="inlineStr">
        <is>
          <t>Ops</t>
        </is>
      </c>
      <c r="H75" s="28" t="inlineStr">
        <is>
          <t>P2</t>
        </is>
      </c>
      <c r="I75" s="10" t="n">
        <v>0.75</v>
      </c>
      <c r="J75" s="15" t="inlineStr"/>
      <c r="K75" s="10" t="inlineStr">
        <is>
          <t>Not started</t>
        </is>
      </c>
    </row>
    <row r="76">
      <c r="A76" s="10" t="n">
        <v>75</v>
      </c>
      <c r="B76" s="10" t="inlineStr">
        <is>
          <t>2026-06-30</t>
        </is>
      </c>
      <c r="C76" s="10" t="n">
        <v>11</v>
      </c>
      <c r="D76" s="10" t="n">
        <v>3</v>
      </c>
      <c r="E76" s="10" t="inlineStr">
        <is>
          <t>4. Portfolio</t>
        </is>
      </c>
      <c r="F76" s="15" t="inlineStr">
        <is>
          <t>Monitor at-risk channels (&lt;1k subs month-over-month flat)</t>
        </is>
      </c>
      <c r="G76" s="37" t="inlineStr">
        <is>
          <t>Analytics</t>
        </is>
      </c>
      <c r="H76" s="38" t="inlineStr">
        <is>
          <t>P1</t>
        </is>
      </c>
      <c r="I76" s="10" t="n">
        <v>1</v>
      </c>
      <c r="J76" s="15" t="inlineStr"/>
      <c r="K76" s="10" t="inlineStr">
        <is>
          <t>Not started</t>
        </is>
      </c>
    </row>
    <row r="77">
      <c r="A77" s="10" t="n">
        <v>76</v>
      </c>
      <c r="B77" s="10" t="inlineStr">
        <is>
          <t>2026-07-01</t>
        </is>
      </c>
      <c r="C77" s="10" t="n">
        <v>11</v>
      </c>
      <c r="D77" s="10" t="n">
        <v>3</v>
      </c>
      <c r="E77" s="10" t="inlineStr">
        <is>
          <t>4. Portfolio</t>
        </is>
      </c>
      <c r="F77" s="15" t="inlineStr">
        <is>
          <t>Test LLM persona variation on Reddit Stories — measure CTR impact</t>
        </is>
      </c>
      <c r="G77" s="39" t="inlineStr">
        <is>
          <t>Optimization</t>
        </is>
      </c>
      <c r="H77" s="38" t="inlineStr">
        <is>
          <t>P1</t>
        </is>
      </c>
      <c r="I77" s="10" t="n">
        <v>2</v>
      </c>
      <c r="J77" s="15" t="inlineStr"/>
      <c r="K77" s="10" t="inlineStr">
        <is>
          <t>Not started</t>
        </is>
      </c>
    </row>
    <row r="78">
      <c r="A78" s="10" t="n">
        <v>77</v>
      </c>
      <c r="B78" s="10" t="inlineStr">
        <is>
          <t>2026-07-02</t>
        </is>
      </c>
      <c r="C78" s="10" t="n">
        <v>11</v>
      </c>
      <c r="D78" s="10" t="n">
        <v>3</v>
      </c>
      <c r="E78" s="10" t="inlineStr">
        <is>
          <t>4. Portfolio</t>
        </is>
      </c>
      <c r="F78" s="15" t="inlineStr">
        <is>
          <t>Submit TikTok Reacts to TikTok Creator Fund (requires 10k followers)</t>
        </is>
      </c>
      <c r="G78" s="30" t="inlineStr">
        <is>
          <t>Marketing</t>
        </is>
      </c>
      <c r="H78" s="38" t="inlineStr">
        <is>
          <t>P1</t>
        </is>
      </c>
      <c r="I78" s="10" t="n">
        <v>0.5</v>
      </c>
      <c r="J78" s="15" t="inlineStr"/>
      <c r="K78" s="10" t="inlineStr">
        <is>
          <t>Not started</t>
        </is>
      </c>
    </row>
    <row r="79">
      <c r="A79" s="10" t="n">
        <v>78</v>
      </c>
      <c r="B79" s="10" t="inlineStr">
        <is>
          <t>2026-07-03</t>
        </is>
      </c>
      <c r="C79" s="10" t="n">
        <v>12</v>
      </c>
      <c r="D79" s="10" t="n">
        <v>3</v>
      </c>
      <c r="E79" s="10" t="inlineStr">
        <is>
          <t>4. Portfolio</t>
        </is>
      </c>
      <c r="F79" s="15" t="inlineStr">
        <is>
          <t>Peanut KSI second upload — adjust based on first-video retention data</t>
        </is>
      </c>
      <c r="G79" s="11" t="inlineStr">
        <is>
          <t>Content</t>
        </is>
      </c>
      <c r="H79" s="38" t="inlineStr">
        <is>
          <t>P1</t>
        </is>
      </c>
      <c r="I79" s="10" t="n">
        <v>1.5</v>
      </c>
      <c r="J79" s="15" t="inlineStr"/>
      <c r="K79" s="10" t="inlineStr">
        <is>
          <t>Not started</t>
        </is>
      </c>
    </row>
    <row r="80">
      <c r="A80" s="10" t="n">
        <v>79</v>
      </c>
      <c r="B80" s="10" t="inlineStr">
        <is>
          <t>2026-07-04</t>
        </is>
      </c>
      <c r="C80" s="10" t="n">
        <v>12</v>
      </c>
      <c r="D80" s="10" t="n">
        <v>3</v>
      </c>
      <c r="E80" s="10" t="inlineStr">
        <is>
          <t>4. Portfolio</t>
        </is>
      </c>
      <c r="F80" s="15" t="inlineStr">
        <is>
          <t>Add Shorts extractor to KSI + Sidemen (Shorts per long-form = 3-5)</t>
        </is>
      </c>
      <c r="G80" s="35" t="inlineStr">
        <is>
          <t>Infra</t>
        </is>
      </c>
      <c r="H80" s="38" t="inlineStr">
        <is>
          <t>P1</t>
        </is>
      </c>
      <c r="I80" s="10" t="n">
        <v>2</v>
      </c>
      <c r="J80" s="15" t="inlineStr"/>
      <c r="K80" s="10" t="inlineStr">
        <is>
          <t>Not started</t>
        </is>
      </c>
    </row>
    <row r="81">
      <c r="A81" s="10" t="n">
        <v>80</v>
      </c>
      <c r="B81" s="10" t="inlineStr">
        <is>
          <t>2026-07-05</t>
        </is>
      </c>
      <c r="C81" s="10" t="n">
        <v>12</v>
      </c>
      <c r="D81" s="10" t="n">
        <v>3</v>
      </c>
      <c r="E81" s="10" t="inlineStr">
        <is>
          <t>4. Portfolio</t>
        </is>
      </c>
      <c r="F81" s="15" t="inlineStr">
        <is>
          <t>Build auto-reply bot for FAQ comments across channels</t>
        </is>
      </c>
      <c r="G81" s="39" t="inlineStr">
        <is>
          <t>Optimization</t>
        </is>
      </c>
      <c r="H81" s="28" t="inlineStr">
        <is>
          <t>P2</t>
        </is>
      </c>
      <c r="I81" s="10" t="n">
        <v>2</v>
      </c>
      <c r="J81" s="15" t="inlineStr"/>
      <c r="K81" s="10" t="inlineStr">
        <is>
          <t>Not started</t>
        </is>
      </c>
    </row>
    <row r="82">
      <c r="A82" s="10" t="n">
        <v>81</v>
      </c>
      <c r="B82" s="10" t="inlineStr">
        <is>
          <t>2026-07-06</t>
        </is>
      </c>
      <c r="C82" s="10" t="n">
        <v>12</v>
      </c>
      <c r="D82" s="10" t="n">
        <v>3</v>
      </c>
      <c r="E82" s="10" t="inlineStr">
        <is>
          <t>4. Portfolio</t>
        </is>
      </c>
      <c r="F82" s="15" t="inlineStr">
        <is>
          <t>Light day — observe portfolio, no code changes</t>
        </is>
      </c>
      <c r="G82" s="40" t="inlineStr">
        <is>
          <t>Rest</t>
        </is>
      </c>
      <c r="H82" s="28" t="inlineStr">
        <is>
          <t>P2</t>
        </is>
      </c>
      <c r="I82" s="10" t="n">
        <v>0.5</v>
      </c>
      <c r="J82" s="15" t="inlineStr"/>
      <c r="K82" s="10" t="inlineStr">
        <is>
          <t>Not started</t>
        </is>
      </c>
    </row>
    <row r="83">
      <c r="A83" s="10" t="n">
        <v>82</v>
      </c>
      <c r="B83" s="10" t="inlineStr">
        <is>
          <t>2026-07-07</t>
        </is>
      </c>
      <c r="C83" s="10" t="n">
        <v>12</v>
      </c>
      <c r="D83" s="10" t="n">
        <v>3</v>
      </c>
      <c r="E83" s="10" t="inlineStr">
        <is>
          <t>4. Portfolio</t>
        </is>
      </c>
      <c r="F83" s="15" t="inlineStr">
        <is>
          <t>Week retro on Month 3 progress vs plan — rebaseline if &gt;20% off</t>
        </is>
      </c>
      <c r="G83" s="37" t="inlineStr">
        <is>
          <t>Analytics</t>
        </is>
      </c>
      <c r="H83" s="36" t="inlineStr">
        <is>
          <t>P0</t>
        </is>
      </c>
      <c r="I83" s="10" t="n">
        <v>1.5</v>
      </c>
      <c r="J83" s="15" t="inlineStr"/>
      <c r="K83" s="10" t="inlineStr">
        <is>
          <t>Not started</t>
        </is>
      </c>
    </row>
    <row r="84">
      <c r="A84" s="10" t="n">
        <v>83</v>
      </c>
      <c r="B84" s="10" t="inlineStr">
        <is>
          <t>2026-07-08</t>
        </is>
      </c>
      <c r="C84" s="10" t="n">
        <v>12</v>
      </c>
      <c r="D84" s="10" t="n">
        <v>3</v>
      </c>
      <c r="E84" s="10" t="inlineStr">
        <is>
          <t>4. Portfolio</t>
        </is>
      </c>
      <c r="F84" s="15" t="inlineStr">
        <is>
          <t>Launch Reddit AITA (Pistachio) — different persona, different subs focus</t>
        </is>
      </c>
      <c r="G84" s="11" t="inlineStr">
        <is>
          <t>Content</t>
        </is>
      </c>
      <c r="H84" s="36" t="inlineStr">
        <is>
          <t>P0</t>
        </is>
      </c>
      <c r="I84" s="10" t="n">
        <v>2.5</v>
      </c>
      <c r="J84" s="15" t="inlineStr"/>
      <c r="K84" s="10" t="inlineStr">
        <is>
          <t>Not started</t>
        </is>
      </c>
    </row>
    <row r="85">
      <c r="A85" s="10" t="n">
        <v>84</v>
      </c>
      <c r="B85" s="10" t="inlineStr">
        <is>
          <t>2026-07-09</t>
        </is>
      </c>
      <c r="C85" s="10" t="n">
        <v>12</v>
      </c>
      <c r="D85" s="10" t="n">
        <v>3</v>
      </c>
      <c r="E85" s="10" t="inlineStr">
        <is>
          <t>4. Portfolio</t>
        </is>
      </c>
      <c r="F85" s="15" t="inlineStr">
        <is>
          <t>Content calendar: 30 days ahead for each channel, spread topics</t>
        </is>
      </c>
      <c r="G85" s="41" t="inlineStr">
        <is>
          <t>Ops</t>
        </is>
      </c>
      <c r="H85" s="38" t="inlineStr">
        <is>
          <t>P1</t>
        </is>
      </c>
      <c r="I85" s="10" t="n">
        <v>2</v>
      </c>
      <c r="J85" s="15" t="inlineStr"/>
      <c r="K85" s="10" t="inlineStr">
        <is>
          <t>Not started</t>
        </is>
      </c>
    </row>
    <row r="86">
      <c r="A86" s="10" t="n">
        <v>85</v>
      </c>
      <c r="B86" s="10" t="inlineStr">
        <is>
          <t>2026-07-10</t>
        </is>
      </c>
      <c r="C86" s="10" t="n">
        <v>13</v>
      </c>
      <c r="D86" s="10" t="n">
        <v>3</v>
      </c>
      <c r="E86" s="10" t="inlineStr">
        <is>
          <t>4. Portfolio</t>
        </is>
      </c>
      <c r="F86" s="15" t="inlineStr">
        <is>
          <t>Daily ops</t>
        </is>
      </c>
      <c r="G86" s="41" t="inlineStr">
        <is>
          <t>Ops</t>
        </is>
      </c>
      <c r="H86" s="28" t="inlineStr">
        <is>
          <t>P2</t>
        </is>
      </c>
      <c r="I86" s="10" t="n">
        <v>0.75</v>
      </c>
      <c r="J86" s="15" t="inlineStr"/>
      <c r="K86" s="10" t="inlineStr">
        <is>
          <t>Not started</t>
        </is>
      </c>
    </row>
    <row r="87">
      <c r="A87" s="10" t="n">
        <v>86</v>
      </c>
      <c r="B87" s="10" t="inlineStr">
        <is>
          <t>2026-07-11</t>
        </is>
      </c>
      <c r="C87" s="10" t="n">
        <v>13</v>
      </c>
      <c r="D87" s="10" t="n">
        <v>3</v>
      </c>
      <c r="E87" s="10" t="inlineStr">
        <is>
          <t>4. Portfolio</t>
        </is>
      </c>
      <c r="F87" s="15" t="inlineStr">
        <is>
          <t>Benchmark: total portfolio monthly RPM vs niche average ($8-18)</t>
        </is>
      </c>
      <c r="G87" s="37" t="inlineStr">
        <is>
          <t>Analytics</t>
        </is>
      </c>
      <c r="H87" s="38" t="inlineStr">
        <is>
          <t>P1</t>
        </is>
      </c>
      <c r="I87" s="10" t="n">
        <v>1</v>
      </c>
      <c r="J87" s="15" t="inlineStr"/>
      <c r="K87" s="10" t="inlineStr">
        <is>
          <t>Not started</t>
        </is>
      </c>
    </row>
    <row r="88">
      <c r="A88" s="10" t="n">
        <v>87</v>
      </c>
      <c r="B88" s="10" t="inlineStr">
        <is>
          <t>2026-07-12</t>
        </is>
      </c>
      <c r="C88" s="10" t="n">
        <v>13</v>
      </c>
      <c r="D88" s="10" t="n">
        <v>3</v>
      </c>
      <c r="E88" s="10" t="inlineStr">
        <is>
          <t>4. Portfolio</t>
        </is>
      </c>
      <c r="F88" s="15" t="inlineStr">
        <is>
          <t>Hit rate-limit issue workarounds (Reddit API, TTS, DeepSeek)</t>
        </is>
      </c>
      <c r="G88" s="41" t="inlineStr">
        <is>
          <t>Ops</t>
        </is>
      </c>
      <c r="H88" s="38" t="inlineStr">
        <is>
          <t>P1</t>
        </is>
      </c>
      <c r="I88" s="10" t="n">
        <v>1.5</v>
      </c>
      <c r="J88" s="15" t="inlineStr"/>
      <c r="K88" s="10" t="inlineStr">
        <is>
          <t>Not started</t>
        </is>
      </c>
    </row>
    <row r="89">
      <c r="A89" s="10" t="n">
        <v>88</v>
      </c>
      <c r="B89" s="10" t="inlineStr">
        <is>
          <t>2026-07-13</t>
        </is>
      </c>
      <c r="C89" s="10" t="n">
        <v>13</v>
      </c>
      <c r="D89" s="10" t="n">
        <v>3</v>
      </c>
      <c r="E89" s="10" t="inlineStr">
        <is>
          <t>4. Portfolio</t>
        </is>
      </c>
      <c r="F89" s="15" t="inlineStr">
        <is>
          <t>Sponsorship outreach: reach out to 5 mid-tier brands relevant to Reddit Stories</t>
        </is>
      </c>
      <c r="G89" s="30" t="inlineStr">
        <is>
          <t>Marketing</t>
        </is>
      </c>
      <c r="H89" s="38" t="inlineStr">
        <is>
          <t>P1</t>
        </is>
      </c>
      <c r="I89" s="10" t="n">
        <v>2</v>
      </c>
      <c r="J89" s="15" t="inlineStr"/>
      <c r="K89" s="10" t="inlineStr">
        <is>
          <t>Not started</t>
        </is>
      </c>
    </row>
    <row r="90">
      <c r="A90" s="10" t="n">
        <v>89</v>
      </c>
      <c r="B90" s="10" t="inlineStr">
        <is>
          <t>2026-07-14</t>
        </is>
      </c>
      <c r="C90" s="10" t="n">
        <v>13</v>
      </c>
      <c r="D90" s="10" t="n">
        <v>3</v>
      </c>
      <c r="E90" s="10" t="inlineStr">
        <is>
          <t>4. Portfolio</t>
        </is>
      </c>
      <c r="F90" s="15" t="inlineStr">
        <is>
          <t>Observe responses — adjust pitch deck based on first-contact signal</t>
        </is>
      </c>
      <c r="G90" s="30" t="inlineStr">
        <is>
          <t>Marketing</t>
        </is>
      </c>
      <c r="H90" s="38" t="inlineStr">
        <is>
          <t>P1</t>
        </is>
      </c>
      <c r="I90" s="10" t="n">
        <v>1</v>
      </c>
      <c r="J90" s="15" t="inlineStr"/>
      <c r="K90" s="10" t="inlineStr">
        <is>
          <t>Not started</t>
        </is>
      </c>
    </row>
    <row r="91">
      <c r="A91" s="10" t="n">
        <v>90</v>
      </c>
      <c r="B91" s="10" t="inlineStr">
        <is>
          <t>2026-07-15</t>
        </is>
      </c>
      <c r="C91" s="10" t="n">
        <v>13</v>
      </c>
      <c r="D91" s="10" t="n">
        <v>3</v>
      </c>
      <c r="E91" s="10" t="inlineStr">
        <is>
          <t>4. Portfolio</t>
        </is>
      </c>
      <c r="F91" s="15" t="inlineStr">
        <is>
          <t>End of Month 3: milestone review — are we on track for $3k/mo at d120?</t>
        </is>
      </c>
      <c r="G91" s="37" t="inlineStr">
        <is>
          <t>Analytics</t>
        </is>
      </c>
      <c r="H91" s="36" t="inlineStr">
        <is>
          <t>P0</t>
        </is>
      </c>
      <c r="I91" s="10" t="n">
        <v>2</v>
      </c>
      <c r="J91" s="15" t="inlineStr"/>
      <c r="K91" s="10" t="inlineStr">
        <is>
          <t>Not started</t>
        </is>
      </c>
    </row>
    <row r="92">
      <c r="A92" s="10" t="n">
        <v>91</v>
      </c>
      <c r="B92" s="10" t="inlineStr">
        <is>
          <t>2026-07-16</t>
        </is>
      </c>
      <c r="C92" s="10" t="n">
        <v>13</v>
      </c>
      <c r="D92" s="10" t="n">
        <v>4</v>
      </c>
      <c r="E92" s="10" t="inlineStr">
        <is>
          <t>5. Scale</t>
        </is>
      </c>
      <c r="F92" s="15" t="inlineStr">
        <is>
          <t>Upgrade top-performing channel to higher-quality TTS (ElevenLabs Creator)</t>
        </is>
      </c>
      <c r="G92" s="39" t="inlineStr">
        <is>
          <t>Optimization</t>
        </is>
      </c>
      <c r="H92" s="38" t="inlineStr">
        <is>
          <t>P1</t>
        </is>
      </c>
      <c r="I92" s="10" t="n">
        <v>1</v>
      </c>
      <c r="J92" s="15" t="inlineStr"/>
      <c r="K92" s="10" t="inlineStr">
        <is>
          <t>Not started</t>
        </is>
      </c>
    </row>
    <row r="93">
      <c r="A93" s="10" t="n">
        <v>92</v>
      </c>
      <c r="B93" s="10" t="inlineStr">
        <is>
          <t>2026-07-17</t>
        </is>
      </c>
      <c r="C93" s="10" t="n">
        <v>14</v>
      </c>
      <c r="D93" s="10" t="n">
        <v>4</v>
      </c>
      <c r="E93" s="10" t="inlineStr">
        <is>
          <t>5. Scale</t>
        </is>
      </c>
      <c r="F93" s="15" t="inlineStr">
        <is>
          <t>Fund ElevenLabs Creator tier ($99/mo) if ROI clear on top channel</t>
        </is>
      </c>
      <c r="G93" s="41" t="inlineStr">
        <is>
          <t>Ops</t>
        </is>
      </c>
      <c r="H93" s="38" t="inlineStr">
        <is>
          <t>P1</t>
        </is>
      </c>
      <c r="I93" s="10" t="n">
        <v>0.25</v>
      </c>
      <c r="J93" s="15" t="inlineStr"/>
      <c r="K93" s="10" t="inlineStr">
        <is>
          <t>Not started</t>
        </is>
      </c>
    </row>
    <row r="94">
      <c r="A94" s="10" t="n">
        <v>93</v>
      </c>
      <c r="B94" s="10" t="inlineStr">
        <is>
          <t>2026-07-18</t>
        </is>
      </c>
      <c r="C94" s="10" t="n">
        <v>14</v>
      </c>
      <c r="D94" s="10" t="n">
        <v>4</v>
      </c>
      <c r="E94" s="10" t="inlineStr">
        <is>
          <t>5. Scale</t>
        </is>
      </c>
      <c r="F94" s="15" t="inlineStr">
        <is>
          <t>Build template for mid-tier sponsorship emails — personalize + send 10/week</t>
        </is>
      </c>
      <c r="G94" s="30" t="inlineStr">
        <is>
          <t>Marketing</t>
        </is>
      </c>
      <c r="H94" s="38" t="inlineStr">
        <is>
          <t>P1</t>
        </is>
      </c>
      <c r="I94" s="10" t="n">
        <v>2</v>
      </c>
      <c r="J94" s="15" t="inlineStr"/>
      <c r="K94" s="10" t="inlineStr">
        <is>
          <t>Not started</t>
        </is>
      </c>
    </row>
    <row r="95">
      <c r="A95" s="10" t="n">
        <v>94</v>
      </c>
      <c r="B95" s="10" t="inlineStr">
        <is>
          <t>2026-07-19</t>
        </is>
      </c>
      <c r="C95" s="10" t="n">
        <v>14</v>
      </c>
      <c r="D95" s="10" t="n">
        <v>4</v>
      </c>
      <c r="E95" s="10" t="inlineStr">
        <is>
          <t>5. Scale</t>
        </is>
      </c>
      <c r="F95" s="15" t="inlineStr">
        <is>
          <t>Daily ops + community management (30 min per channel)</t>
        </is>
      </c>
      <c r="G95" s="41" t="inlineStr">
        <is>
          <t>Ops</t>
        </is>
      </c>
      <c r="H95" s="38" t="inlineStr">
        <is>
          <t>P1</t>
        </is>
      </c>
      <c r="I95" s="10" t="n">
        <v>2</v>
      </c>
      <c r="J95" s="15" t="inlineStr"/>
      <c r="K95" s="10" t="inlineStr">
        <is>
          <t>Not started</t>
        </is>
      </c>
    </row>
    <row r="96">
      <c r="A96" s="10" t="n">
        <v>95</v>
      </c>
      <c r="B96" s="10" t="inlineStr">
        <is>
          <t>2026-07-20</t>
        </is>
      </c>
      <c r="C96" s="10" t="n">
        <v>14</v>
      </c>
      <c r="D96" s="10" t="n">
        <v>4</v>
      </c>
      <c r="E96" s="10" t="inlineStr">
        <is>
          <t>5. Scale</t>
        </is>
      </c>
      <c r="F96" s="15" t="inlineStr">
        <is>
          <t>Identify channel with highest RPM × view velocity — double down</t>
        </is>
      </c>
      <c r="G96" s="37" t="inlineStr">
        <is>
          <t>Analytics</t>
        </is>
      </c>
      <c r="H96" s="36" t="inlineStr">
        <is>
          <t>P0</t>
        </is>
      </c>
      <c r="I96" s="10" t="n">
        <v>1.5</v>
      </c>
      <c r="J96" s="15" t="inlineStr"/>
      <c r="K96" s="10" t="inlineStr">
        <is>
          <t>Not started</t>
        </is>
      </c>
    </row>
    <row r="97">
      <c r="A97" s="10" t="n">
        <v>96</v>
      </c>
      <c r="B97" s="10" t="inlineStr">
        <is>
          <t>2026-07-21</t>
        </is>
      </c>
      <c r="C97" s="10" t="n">
        <v>14</v>
      </c>
      <c r="D97" s="10" t="n">
        <v>4</v>
      </c>
      <c r="E97" s="10" t="inlineStr">
        <is>
          <t>5. Scale</t>
        </is>
      </c>
      <c r="F97" s="15" t="inlineStr">
        <is>
          <t>Start Lofi 24/7 stream on lofi_vibes — RTMP setup + music source</t>
        </is>
      </c>
      <c r="G97" s="35" t="inlineStr">
        <is>
          <t>Infra</t>
        </is>
      </c>
      <c r="H97" s="36" t="inlineStr">
        <is>
          <t>P0</t>
        </is>
      </c>
      <c r="I97" s="10" t="n">
        <v>3</v>
      </c>
      <c r="J97" s="15" t="inlineStr"/>
      <c r="K97" s="10" t="inlineStr">
        <is>
          <t>Not started</t>
        </is>
      </c>
    </row>
    <row r="98">
      <c r="A98" s="10" t="n">
        <v>97</v>
      </c>
      <c r="B98" s="10" t="inlineStr">
        <is>
          <t>2026-07-22</t>
        </is>
      </c>
      <c r="C98" s="10" t="n">
        <v>14</v>
      </c>
      <c r="D98" s="10" t="n">
        <v>4</v>
      </c>
      <c r="E98" s="10" t="inlineStr">
        <is>
          <t>5. Scale</t>
        </is>
      </c>
      <c r="F98" s="15" t="inlineStr">
        <is>
          <t>Measure Lofi retention first 48 hours (watch hours is the KPI)</t>
        </is>
      </c>
      <c r="G98" s="37" t="inlineStr">
        <is>
          <t>Analytics</t>
        </is>
      </c>
      <c r="H98" s="38" t="inlineStr">
        <is>
          <t>P1</t>
        </is>
      </c>
      <c r="I98" s="10" t="n">
        <v>1</v>
      </c>
      <c r="J98" s="15" t="inlineStr"/>
      <c r="K98" s="10" t="inlineStr">
        <is>
          <t>Not started</t>
        </is>
      </c>
    </row>
    <row r="99">
      <c r="A99" s="10" t="n">
        <v>98</v>
      </c>
      <c r="B99" s="10" t="inlineStr">
        <is>
          <t>2026-07-23</t>
        </is>
      </c>
      <c r="C99" s="10" t="n">
        <v>14</v>
      </c>
      <c r="D99" s="10" t="n">
        <v>4</v>
      </c>
      <c r="E99" s="10" t="inlineStr">
        <is>
          <t>5. Scale</t>
        </is>
      </c>
      <c r="F99" s="15" t="inlineStr">
        <is>
          <t>Sponsorship follow-ups on last week's cold-out outreach</t>
        </is>
      </c>
      <c r="G99" s="30" t="inlineStr">
        <is>
          <t>Marketing</t>
        </is>
      </c>
      <c r="H99" s="38" t="inlineStr">
        <is>
          <t>P1</t>
        </is>
      </c>
      <c r="I99" s="10" t="n">
        <v>1</v>
      </c>
      <c r="J99" s="15" t="inlineStr"/>
      <c r="K99" s="10" t="inlineStr">
        <is>
          <t>Not started</t>
        </is>
      </c>
    </row>
    <row r="100">
      <c r="A100" s="10" t="n">
        <v>99</v>
      </c>
      <c r="B100" s="10" t="inlineStr">
        <is>
          <t>2026-07-24</t>
        </is>
      </c>
      <c r="C100" s="10" t="n">
        <v>15</v>
      </c>
      <c r="D100" s="10" t="n">
        <v>4</v>
      </c>
      <c r="E100" s="10" t="inlineStr">
        <is>
          <t>5. Scale</t>
        </is>
      </c>
      <c r="F100" s="15" t="inlineStr">
        <is>
          <t>Review+kill: 2 weakest channels if trajectory clearly bad (&lt;500 subs at d100)</t>
        </is>
      </c>
      <c r="G100" s="39" t="inlineStr">
        <is>
          <t>Optimization</t>
        </is>
      </c>
      <c r="H100" s="36" t="inlineStr">
        <is>
          <t>P0</t>
        </is>
      </c>
      <c r="I100" s="10" t="n">
        <v>1.5</v>
      </c>
      <c r="J100" s="15" t="inlineStr"/>
      <c r="K100" s="10" t="inlineStr">
        <is>
          <t>Not started</t>
        </is>
      </c>
    </row>
    <row r="101">
      <c r="A101" s="10" t="n">
        <v>100</v>
      </c>
      <c r="B101" s="10" t="inlineStr">
        <is>
          <t>2026-07-25</t>
        </is>
      </c>
      <c r="C101" s="10" t="n">
        <v>15</v>
      </c>
      <c r="D101" s="10" t="n">
        <v>4</v>
      </c>
      <c r="E101" s="10" t="inlineStr">
        <is>
          <t>5. Scale</t>
        </is>
      </c>
      <c r="F101" s="15" t="inlineStr">
        <is>
          <t>Redirect effort from killed channels to top 2 winners</t>
        </is>
      </c>
      <c r="G101" s="41" t="inlineStr">
        <is>
          <t>Ops</t>
        </is>
      </c>
      <c r="H101" s="36" t="inlineStr">
        <is>
          <t>P0</t>
        </is>
      </c>
      <c r="I101" s="10" t="n">
        <v>1</v>
      </c>
      <c r="J101" s="15" t="inlineStr"/>
      <c r="K101" s="10" t="inlineStr">
        <is>
          <t>Not started</t>
        </is>
      </c>
    </row>
    <row r="102">
      <c r="A102" s="10" t="n">
        <v>101</v>
      </c>
      <c r="B102" s="10" t="inlineStr">
        <is>
          <t>2026-07-26</t>
        </is>
      </c>
      <c r="C102" s="10" t="n">
        <v>15</v>
      </c>
      <c r="D102" s="10" t="n">
        <v>4</v>
      </c>
      <c r="E102" s="10" t="inlineStr">
        <is>
          <t>5. Scale</t>
        </is>
      </c>
      <c r="F102" s="15" t="inlineStr">
        <is>
          <t>Build Patreon page for top channel — tiers, benefits, copy</t>
        </is>
      </c>
      <c r="G102" s="30" t="inlineStr">
        <is>
          <t>Marketing</t>
        </is>
      </c>
      <c r="H102" s="38" t="inlineStr">
        <is>
          <t>P1</t>
        </is>
      </c>
      <c r="I102" s="10" t="n">
        <v>3</v>
      </c>
      <c r="J102" s="15" t="inlineStr"/>
      <c r="K102" s="10" t="inlineStr">
        <is>
          <t>Not started</t>
        </is>
      </c>
    </row>
    <row r="103">
      <c r="A103" s="10" t="n">
        <v>102</v>
      </c>
      <c r="B103" s="10" t="inlineStr">
        <is>
          <t>2026-07-27</t>
        </is>
      </c>
      <c r="C103" s="10" t="n">
        <v>15</v>
      </c>
      <c r="D103" s="10" t="n">
        <v>4</v>
      </c>
      <c r="E103" s="10" t="inlineStr">
        <is>
          <t>5. Scale</t>
        </is>
      </c>
      <c r="F103" s="15" t="inlineStr">
        <is>
          <t>Announce Patreon in a pinned comment on top 10 videos + end cards</t>
        </is>
      </c>
      <c r="G103" s="30" t="inlineStr">
        <is>
          <t>Marketing</t>
        </is>
      </c>
      <c r="H103" s="38" t="inlineStr">
        <is>
          <t>P1</t>
        </is>
      </c>
      <c r="I103" s="10" t="n">
        <v>1.5</v>
      </c>
      <c r="J103" s="15" t="inlineStr"/>
      <c r="K103" s="10" t="inlineStr">
        <is>
          <t>Not started</t>
        </is>
      </c>
    </row>
    <row r="104">
      <c r="A104" s="10" t="n">
        <v>103</v>
      </c>
      <c r="B104" s="10" t="inlineStr">
        <is>
          <t>2026-07-28</t>
        </is>
      </c>
      <c r="C104" s="10" t="n">
        <v>15</v>
      </c>
      <c r="D104" s="10" t="n">
        <v>4</v>
      </c>
      <c r="E104" s="10" t="inlineStr">
        <is>
          <t>5. Scale</t>
        </is>
      </c>
      <c r="F104" s="15" t="inlineStr">
        <is>
          <t>Enable channel memberships on eligible channels (need 1k subs)</t>
        </is>
      </c>
      <c r="G104" s="30" t="inlineStr">
        <is>
          <t>Marketing</t>
        </is>
      </c>
      <c r="H104" s="38" t="inlineStr">
        <is>
          <t>P1</t>
        </is>
      </c>
      <c r="I104" s="10" t="n">
        <v>1</v>
      </c>
      <c r="J104" s="15" t="inlineStr"/>
      <c r="K104" s="10" t="inlineStr">
        <is>
          <t>Not started</t>
        </is>
      </c>
    </row>
    <row r="105">
      <c r="A105" s="10" t="n">
        <v>104</v>
      </c>
      <c r="B105" s="10" t="inlineStr">
        <is>
          <t>2026-07-29</t>
        </is>
      </c>
      <c r="C105" s="10" t="n">
        <v>15</v>
      </c>
      <c r="D105" s="10" t="n">
        <v>4</v>
      </c>
      <c r="E105" s="10" t="inlineStr">
        <is>
          <t>5. Scale</t>
        </is>
      </c>
      <c r="F105" s="15" t="inlineStr">
        <is>
          <t>Light day — observe Patreon + memberships signals</t>
        </is>
      </c>
      <c r="G105" s="40" t="inlineStr">
        <is>
          <t>Rest</t>
        </is>
      </c>
      <c r="H105" s="28" t="inlineStr">
        <is>
          <t>P2</t>
        </is>
      </c>
      <c r="I105" s="10" t="n">
        <v>0.5</v>
      </c>
      <c r="J105" s="15" t="inlineStr"/>
      <c r="K105" s="10" t="inlineStr">
        <is>
          <t>Not started</t>
        </is>
      </c>
    </row>
    <row r="106">
      <c r="A106" s="10" t="n">
        <v>105</v>
      </c>
      <c r="B106" s="10" t="inlineStr">
        <is>
          <t>2026-07-30</t>
        </is>
      </c>
      <c r="C106" s="10" t="n">
        <v>15</v>
      </c>
      <c r="D106" s="10" t="n">
        <v>4</v>
      </c>
      <c r="E106" s="10" t="inlineStr">
        <is>
          <t>5. Scale</t>
        </is>
      </c>
      <c r="F106" s="15" t="inlineStr">
        <is>
          <t>Sidemen compilation v2: 6-hour version (longer = higher watch time)</t>
        </is>
      </c>
      <c r="G106" s="11" t="inlineStr">
        <is>
          <t>Content</t>
        </is>
      </c>
      <c r="H106" s="38" t="inlineStr">
        <is>
          <t>P1</t>
        </is>
      </c>
      <c r="I106" s="10" t="n">
        <v>3</v>
      </c>
      <c r="J106" s="15" t="inlineStr"/>
      <c r="K106" s="10" t="inlineStr">
        <is>
          <t>Not started</t>
        </is>
      </c>
    </row>
    <row r="107">
      <c r="A107" s="10" t="n">
        <v>106</v>
      </c>
      <c r="B107" s="10" t="inlineStr">
        <is>
          <t>2026-07-31</t>
        </is>
      </c>
      <c r="C107" s="10" t="n">
        <v>16</v>
      </c>
      <c r="D107" s="10" t="n">
        <v>4</v>
      </c>
      <c r="E107" s="10" t="inlineStr">
        <is>
          <t>5. Scale</t>
        </is>
      </c>
      <c r="F107" s="15" t="inlineStr">
        <is>
          <t>Upload, set as premiere with live chat</t>
        </is>
      </c>
      <c r="G107" s="11" t="inlineStr">
        <is>
          <t>Content</t>
        </is>
      </c>
      <c r="H107" s="38" t="inlineStr">
        <is>
          <t>P1</t>
        </is>
      </c>
      <c r="I107" s="10" t="n">
        <v>0.5</v>
      </c>
      <c r="J107" s="15" t="inlineStr"/>
      <c r="K107" s="10" t="inlineStr">
        <is>
          <t>Not started</t>
        </is>
      </c>
    </row>
    <row r="108">
      <c r="A108" s="10" t="n">
        <v>107</v>
      </c>
      <c r="B108" s="10" t="inlineStr">
        <is>
          <t>2026-08-01</t>
        </is>
      </c>
      <c r="C108" s="10" t="n">
        <v>16</v>
      </c>
      <c r="D108" s="10" t="n">
        <v>4</v>
      </c>
      <c r="E108" s="10" t="inlineStr">
        <is>
          <t>5. Scale</t>
        </is>
      </c>
      <c r="F108" s="15" t="inlineStr">
        <is>
          <t>Daily ops</t>
        </is>
      </c>
      <c r="G108" s="41" t="inlineStr">
        <is>
          <t>Ops</t>
        </is>
      </c>
      <c r="H108" s="28" t="inlineStr">
        <is>
          <t>P2</t>
        </is>
      </c>
      <c r="I108" s="10" t="n">
        <v>0.75</v>
      </c>
      <c r="J108" s="15" t="inlineStr"/>
      <c r="K108" s="10" t="inlineStr">
        <is>
          <t>Not started</t>
        </is>
      </c>
    </row>
    <row r="109">
      <c r="A109" s="10" t="n">
        <v>108</v>
      </c>
      <c r="B109" s="10" t="inlineStr">
        <is>
          <t>2026-08-02</t>
        </is>
      </c>
      <c r="C109" s="10" t="n">
        <v>16</v>
      </c>
      <c r="D109" s="10" t="n">
        <v>4</v>
      </c>
      <c r="E109" s="10" t="inlineStr">
        <is>
          <t>5. Scale</t>
        </is>
      </c>
      <c r="F109" s="15" t="inlineStr">
        <is>
          <t>Optimize Reddit Stories CPM: target higher-RPM demographics (US/UK)</t>
        </is>
      </c>
      <c r="G109" s="39" t="inlineStr">
        <is>
          <t>Optimization</t>
        </is>
      </c>
      <c r="H109" s="38" t="inlineStr">
        <is>
          <t>P1</t>
        </is>
      </c>
      <c r="I109" s="10" t="n">
        <v>1.5</v>
      </c>
      <c r="J109" s="15" t="inlineStr"/>
      <c r="K109" s="10" t="inlineStr">
        <is>
          <t>Not started</t>
        </is>
      </c>
    </row>
    <row r="110">
      <c r="A110" s="10" t="n">
        <v>109</v>
      </c>
      <c r="B110" s="10" t="inlineStr">
        <is>
          <t>2026-08-03</t>
        </is>
      </c>
      <c r="C110" s="10" t="n">
        <v>16</v>
      </c>
      <c r="D110" s="10" t="n">
        <v>4</v>
      </c>
      <c r="E110" s="10" t="inlineStr">
        <is>
          <t>5. Scale</t>
        </is>
      </c>
      <c r="F110" s="15" t="inlineStr">
        <is>
          <t>Add English-US preferred-language meta to uploads</t>
        </is>
      </c>
      <c r="G110" s="39" t="inlineStr">
        <is>
          <t>Optimization</t>
        </is>
      </c>
      <c r="H110" s="28" t="inlineStr">
        <is>
          <t>P2</t>
        </is>
      </c>
      <c r="I110" s="10" t="n">
        <v>0.5</v>
      </c>
      <c r="J110" s="15" t="inlineStr"/>
      <c r="K110" s="10" t="inlineStr">
        <is>
          <t>Not started</t>
        </is>
      </c>
    </row>
    <row r="111">
      <c r="A111" s="10" t="n">
        <v>110</v>
      </c>
      <c r="B111" s="10" t="inlineStr">
        <is>
          <t>2026-08-04</t>
        </is>
      </c>
      <c r="C111" s="10" t="n">
        <v>16</v>
      </c>
      <c r="D111" s="10" t="n">
        <v>4</v>
      </c>
      <c r="E111" s="10" t="inlineStr">
        <is>
          <t>5. Scale</t>
        </is>
      </c>
      <c r="F111" s="15" t="inlineStr">
        <is>
          <t>Launch first affiliate link in description (Audible, Skillshare, etc.)</t>
        </is>
      </c>
      <c r="G111" s="30" t="inlineStr">
        <is>
          <t>Marketing</t>
        </is>
      </c>
      <c r="H111" s="38" t="inlineStr">
        <is>
          <t>P1</t>
        </is>
      </c>
      <c r="I111" s="10" t="n">
        <v>1</v>
      </c>
      <c r="J111" s="15" t="inlineStr"/>
      <c r="K111" s="10" t="inlineStr">
        <is>
          <t>Not started</t>
        </is>
      </c>
    </row>
    <row r="112">
      <c r="A112" s="10" t="n">
        <v>111</v>
      </c>
      <c r="B112" s="10" t="inlineStr">
        <is>
          <t>2026-08-05</t>
        </is>
      </c>
      <c r="C112" s="10" t="n">
        <v>16</v>
      </c>
      <c r="D112" s="10" t="n">
        <v>4</v>
      </c>
      <c r="E112" s="10" t="inlineStr">
        <is>
          <t>5. Scale</t>
        </is>
      </c>
      <c r="F112" s="15" t="inlineStr">
        <is>
          <t>Daily ops + sponsor follow-ups</t>
        </is>
      </c>
      <c r="G112" s="41" t="inlineStr">
        <is>
          <t>Ops</t>
        </is>
      </c>
      <c r="H112" s="38" t="inlineStr">
        <is>
          <t>P1</t>
        </is>
      </c>
      <c r="I112" s="10" t="n">
        <v>1</v>
      </c>
      <c r="J112" s="15" t="inlineStr"/>
      <c r="K112" s="10" t="inlineStr">
        <is>
          <t>Not started</t>
        </is>
      </c>
    </row>
    <row r="113">
      <c r="A113" s="10" t="n">
        <v>112</v>
      </c>
      <c r="B113" s="10" t="inlineStr">
        <is>
          <t>2026-08-06</t>
        </is>
      </c>
      <c r="C113" s="10" t="n">
        <v>16</v>
      </c>
      <c r="D113" s="10" t="n">
        <v>4</v>
      </c>
      <c r="E113" s="10" t="inlineStr">
        <is>
          <t>5. Scale</t>
        </is>
      </c>
      <c r="F113" s="15" t="inlineStr">
        <is>
          <t>Diversify Reddit source: add r/relationship_advice, r/bestofredditorupdates</t>
        </is>
      </c>
      <c r="G113" s="11" t="inlineStr">
        <is>
          <t>Content</t>
        </is>
      </c>
      <c r="H113" s="38" t="inlineStr">
        <is>
          <t>P1</t>
        </is>
      </c>
      <c r="I113" s="10" t="n">
        <v>1</v>
      </c>
      <c r="J113" s="15" t="inlineStr"/>
      <c r="K113" s="10" t="inlineStr">
        <is>
          <t>Not started</t>
        </is>
      </c>
    </row>
    <row r="114">
      <c r="A114" s="10" t="n">
        <v>113</v>
      </c>
      <c r="B114" s="10" t="inlineStr">
        <is>
          <t>2026-08-07</t>
        </is>
      </c>
      <c r="C114" s="10" t="n">
        <v>17</v>
      </c>
      <c r="D114" s="10" t="n">
        <v>4</v>
      </c>
      <c r="E114" s="10" t="inlineStr">
        <is>
          <t>5. Scale</t>
        </is>
      </c>
      <c r="F114" s="15" t="inlineStr">
        <is>
          <t>A/B test long (15 min) vs longer (25 min) Reddit Stories — watch-time impact?</t>
        </is>
      </c>
      <c r="G114" s="39" t="inlineStr">
        <is>
          <t>Optimization</t>
        </is>
      </c>
      <c r="H114" s="38" t="inlineStr">
        <is>
          <t>P1</t>
        </is>
      </c>
      <c r="I114" s="10" t="n">
        <v>1.5</v>
      </c>
      <c r="J114" s="15" t="inlineStr"/>
      <c r="K114" s="10" t="inlineStr">
        <is>
          <t>Not started</t>
        </is>
      </c>
    </row>
    <row r="115">
      <c r="A115" s="10" t="n">
        <v>114</v>
      </c>
      <c r="B115" s="10" t="inlineStr">
        <is>
          <t>2026-08-08</t>
        </is>
      </c>
      <c r="C115" s="10" t="n">
        <v>17</v>
      </c>
      <c r="D115" s="10" t="n">
        <v>4</v>
      </c>
      <c r="E115" s="10" t="inlineStr">
        <is>
          <t>5. Scale</t>
        </is>
      </c>
      <c r="F115" s="15" t="inlineStr">
        <is>
          <t>Make winning length the default; update content generator</t>
        </is>
      </c>
      <c r="G115" s="41" t="inlineStr">
        <is>
          <t>Ops</t>
        </is>
      </c>
      <c r="H115" s="38" t="inlineStr">
        <is>
          <t>P1</t>
        </is>
      </c>
      <c r="I115" s="10" t="n">
        <v>1</v>
      </c>
      <c r="J115" s="15" t="inlineStr"/>
      <c r="K115" s="10" t="inlineStr">
        <is>
          <t>Not started</t>
        </is>
      </c>
    </row>
    <row r="116">
      <c r="A116" s="10" t="n">
        <v>115</v>
      </c>
      <c r="B116" s="10" t="inlineStr">
        <is>
          <t>2026-08-09</t>
        </is>
      </c>
      <c r="C116" s="10" t="n">
        <v>17</v>
      </c>
      <c r="D116" s="10" t="n">
        <v>4</v>
      </c>
      <c r="E116" s="10" t="inlineStr">
        <is>
          <t>5. Scale</t>
        </is>
      </c>
      <c r="F116" s="15" t="inlineStr">
        <is>
          <t>Sponsorship pipeline review — follow up all open threads</t>
        </is>
      </c>
      <c r="G116" s="30" t="inlineStr">
        <is>
          <t>Marketing</t>
        </is>
      </c>
      <c r="H116" s="38" t="inlineStr">
        <is>
          <t>P1</t>
        </is>
      </c>
      <c r="I116" s="10" t="n">
        <v>1</v>
      </c>
      <c r="J116" s="15" t="inlineStr"/>
      <c r="K116" s="10" t="inlineStr">
        <is>
          <t>Not started</t>
        </is>
      </c>
    </row>
    <row r="117">
      <c r="A117" s="10" t="n">
        <v>116</v>
      </c>
      <c r="B117" s="10" t="inlineStr">
        <is>
          <t>2026-08-10</t>
        </is>
      </c>
      <c r="C117" s="10" t="n">
        <v>17</v>
      </c>
      <c r="D117" s="10" t="n">
        <v>4</v>
      </c>
      <c r="E117" s="10" t="inlineStr">
        <is>
          <t>5. Scale</t>
        </is>
      </c>
      <c r="F117" s="15" t="inlineStr">
        <is>
          <t>Portfolio dashboard refresh: revenue, views, subs, trendlines</t>
        </is>
      </c>
      <c r="G117" s="37" t="inlineStr">
        <is>
          <t>Analytics</t>
        </is>
      </c>
      <c r="H117" s="38" t="inlineStr">
        <is>
          <t>P1</t>
        </is>
      </c>
      <c r="I117" s="10" t="n">
        <v>1.5</v>
      </c>
      <c r="J117" s="15" t="inlineStr"/>
      <c r="K117" s="10" t="inlineStr">
        <is>
          <t>Not started</t>
        </is>
      </c>
    </row>
    <row r="118">
      <c r="A118" s="10" t="n">
        <v>117</v>
      </c>
      <c r="B118" s="10" t="inlineStr">
        <is>
          <t>2026-08-11</t>
        </is>
      </c>
      <c r="C118" s="10" t="n">
        <v>17</v>
      </c>
      <c r="D118" s="10" t="n">
        <v>4</v>
      </c>
      <c r="E118" s="10" t="inlineStr">
        <is>
          <t>5. Scale</t>
        </is>
      </c>
      <c r="F118" s="15" t="inlineStr">
        <is>
          <t>Light day</t>
        </is>
      </c>
      <c r="G118" s="40" t="inlineStr">
        <is>
          <t>Rest</t>
        </is>
      </c>
      <c r="H118" s="28" t="inlineStr">
        <is>
          <t>P2</t>
        </is>
      </c>
      <c r="I118" s="10" t="n">
        <v>0.5</v>
      </c>
      <c r="J118" s="15" t="inlineStr"/>
      <c r="K118" s="10" t="inlineStr">
        <is>
          <t>Not started</t>
        </is>
      </c>
    </row>
    <row r="119">
      <c r="A119" s="10" t="n">
        <v>118</v>
      </c>
      <c r="B119" s="10" t="inlineStr">
        <is>
          <t>2026-08-12</t>
        </is>
      </c>
      <c r="C119" s="10" t="n">
        <v>17</v>
      </c>
      <c r="D119" s="10" t="n">
        <v>4</v>
      </c>
      <c r="E119" s="10" t="inlineStr">
        <is>
          <t>5. Scale</t>
        </is>
      </c>
      <c r="F119" s="15" t="inlineStr">
        <is>
          <t>First sponsorship signed (target)</t>
        </is>
      </c>
      <c r="G119" s="30" t="inlineStr">
        <is>
          <t>Marketing</t>
        </is>
      </c>
      <c r="H119" s="36" t="inlineStr">
        <is>
          <t>P0</t>
        </is>
      </c>
      <c r="I119" s="10" t="n">
        <v>1</v>
      </c>
      <c r="J119" s="15" t="inlineStr"/>
      <c r="K119" s="10" t="inlineStr">
        <is>
          <t>Not started</t>
        </is>
      </c>
    </row>
    <row r="120">
      <c r="A120" s="10" t="n">
        <v>119</v>
      </c>
      <c r="B120" s="10" t="inlineStr">
        <is>
          <t>2026-08-13</t>
        </is>
      </c>
      <c r="C120" s="10" t="n">
        <v>17</v>
      </c>
      <c r="D120" s="10" t="n">
        <v>4</v>
      </c>
      <c r="E120" s="10" t="inlineStr">
        <is>
          <t>5. Scale</t>
        </is>
      </c>
      <c r="F120" s="15" t="inlineStr">
        <is>
          <t>Sponsor video production + delivery per contract</t>
        </is>
      </c>
      <c r="G120" s="11" t="inlineStr">
        <is>
          <t>Content</t>
        </is>
      </c>
      <c r="H120" s="38" t="inlineStr">
        <is>
          <t>P1</t>
        </is>
      </c>
      <c r="I120" s="10" t="n">
        <v>2.5</v>
      </c>
      <c r="J120" s="15" t="inlineStr"/>
      <c r="K120" s="10" t="inlineStr">
        <is>
          <t>Not started</t>
        </is>
      </c>
    </row>
    <row r="121">
      <c r="A121" s="10" t="n">
        <v>120</v>
      </c>
      <c r="B121" s="10" t="inlineStr">
        <is>
          <t>2026-08-14</t>
        </is>
      </c>
      <c r="C121" s="10" t="n">
        <v>18</v>
      </c>
      <c r="D121" s="10" t="n">
        <v>4</v>
      </c>
      <c r="E121" s="10" t="inlineStr">
        <is>
          <t>5. Scale</t>
        </is>
      </c>
      <c r="F121" s="15" t="inlineStr">
        <is>
          <t>Month 4 retro — burn-rate vs revenue curve reality check</t>
        </is>
      </c>
      <c r="G121" s="37" t="inlineStr">
        <is>
          <t>Analytics</t>
        </is>
      </c>
      <c r="H121" s="36" t="inlineStr">
        <is>
          <t>P0</t>
        </is>
      </c>
      <c r="I121" s="10" t="n">
        <v>2</v>
      </c>
      <c r="J121" s="15" t="inlineStr"/>
      <c r="K121" s="10" t="inlineStr">
        <is>
          <t>Not started</t>
        </is>
      </c>
    </row>
    <row r="122">
      <c r="A122" s="10" t="n">
        <v>121</v>
      </c>
      <c r="B122" s="10" t="inlineStr">
        <is>
          <t>2026-08-15</t>
        </is>
      </c>
      <c r="C122" s="10" t="n">
        <v>18</v>
      </c>
      <c r="D122" s="10" t="n">
        <v>5</v>
      </c>
      <c r="E122" s="10" t="inlineStr">
        <is>
          <t>6. Diversify</t>
        </is>
      </c>
      <c r="F122" s="15" t="inlineStr">
        <is>
          <t>Review all diversified revenue streams — which pay, which don't</t>
        </is>
      </c>
      <c r="G122" s="37" t="inlineStr">
        <is>
          <t>Analytics</t>
        </is>
      </c>
      <c r="H122" s="36" t="inlineStr">
        <is>
          <t>P0</t>
        </is>
      </c>
      <c r="I122" s="10" t="n">
        <v>1.5</v>
      </c>
      <c r="J122" s="15" t="inlineStr"/>
      <c r="K122" s="10" t="inlineStr">
        <is>
          <t>Not started</t>
        </is>
      </c>
    </row>
    <row r="123">
      <c r="A123" s="10" t="n">
        <v>122</v>
      </c>
      <c r="B123" s="10" t="inlineStr">
        <is>
          <t>2026-08-16</t>
        </is>
      </c>
      <c r="C123" s="10" t="n">
        <v>18</v>
      </c>
      <c r="D123" s="10" t="n">
        <v>5</v>
      </c>
      <c r="E123" s="10" t="inlineStr">
        <is>
          <t>6. Diversify</t>
        </is>
      </c>
      <c r="F123" s="15" t="inlineStr">
        <is>
          <t>Double down on best-performing diversification lever</t>
        </is>
      </c>
      <c r="G123" s="41" t="inlineStr">
        <is>
          <t>Ops</t>
        </is>
      </c>
      <c r="H123" s="38" t="inlineStr">
        <is>
          <t>P1</t>
        </is>
      </c>
      <c r="I123" s="10" t="n">
        <v>1</v>
      </c>
      <c r="J123" s="15" t="inlineStr"/>
      <c r="K123" s="10" t="inlineStr">
        <is>
          <t>Not started</t>
        </is>
      </c>
    </row>
    <row r="124">
      <c r="A124" s="10" t="n">
        <v>123</v>
      </c>
      <c r="B124" s="10" t="inlineStr">
        <is>
          <t>2026-08-17</t>
        </is>
      </c>
      <c r="C124" s="10" t="n">
        <v>18</v>
      </c>
      <c r="D124" s="10" t="n">
        <v>5</v>
      </c>
      <c r="E124" s="10" t="inlineStr">
        <is>
          <t>6. Diversify</t>
        </is>
      </c>
      <c r="F124" s="15" t="inlineStr">
        <is>
          <t>Merch ideation: simple design, Printful/Teespring (character-branded)</t>
        </is>
      </c>
      <c r="G124" s="30" t="inlineStr">
        <is>
          <t>Marketing</t>
        </is>
      </c>
      <c r="H124" s="28" t="inlineStr">
        <is>
          <t>P2</t>
        </is>
      </c>
      <c r="I124" s="10" t="n">
        <v>2</v>
      </c>
      <c r="J124" s="15" t="inlineStr"/>
      <c r="K124" s="10" t="inlineStr">
        <is>
          <t>Not started</t>
        </is>
      </c>
    </row>
    <row r="125">
      <c r="A125" s="10" t="n">
        <v>124</v>
      </c>
      <c r="B125" s="10" t="inlineStr">
        <is>
          <t>2026-08-18</t>
        </is>
      </c>
      <c r="C125" s="10" t="n">
        <v>18</v>
      </c>
      <c r="D125" s="10" t="n">
        <v>5</v>
      </c>
      <c r="E125" s="10" t="inlineStr">
        <is>
          <t>6. Diversify</t>
        </is>
      </c>
      <c r="F125" s="15" t="inlineStr">
        <is>
          <t>Launch merch store, link in descriptions</t>
        </is>
      </c>
      <c r="G125" s="30" t="inlineStr">
        <is>
          <t>Marketing</t>
        </is>
      </c>
      <c r="H125" s="28" t="inlineStr">
        <is>
          <t>P2</t>
        </is>
      </c>
      <c r="I125" s="10" t="n">
        <v>1.5</v>
      </c>
      <c r="J125" s="15" t="inlineStr"/>
      <c r="K125" s="10" t="inlineStr">
        <is>
          <t>Not started</t>
        </is>
      </c>
    </row>
    <row r="126">
      <c r="A126" s="10" t="n">
        <v>125</v>
      </c>
      <c r="B126" s="10" t="inlineStr">
        <is>
          <t>2026-08-19</t>
        </is>
      </c>
      <c r="C126" s="10" t="n">
        <v>18</v>
      </c>
      <c r="D126" s="10" t="n">
        <v>5</v>
      </c>
      <c r="E126" s="10" t="inlineStr">
        <is>
          <t>6. Diversify</t>
        </is>
      </c>
      <c r="F126" s="15" t="inlineStr">
        <is>
          <t>Patreon content exclusives — 1 bonus video/week for top tier</t>
        </is>
      </c>
      <c r="G126" s="11" t="inlineStr">
        <is>
          <t>Content</t>
        </is>
      </c>
      <c r="H126" s="38" t="inlineStr">
        <is>
          <t>P1</t>
        </is>
      </c>
      <c r="I126" s="10" t="n">
        <v>2</v>
      </c>
      <c r="J126" s="15" t="inlineStr"/>
      <c r="K126" s="10" t="inlineStr">
        <is>
          <t>Not started</t>
        </is>
      </c>
    </row>
    <row r="127">
      <c r="A127" s="10" t="n">
        <v>126</v>
      </c>
      <c r="B127" s="10" t="inlineStr">
        <is>
          <t>2026-08-20</t>
        </is>
      </c>
      <c r="C127" s="10" t="n">
        <v>18</v>
      </c>
      <c r="D127" s="10" t="n">
        <v>5</v>
      </c>
      <c r="E127" s="10" t="inlineStr">
        <is>
          <t>6. Diversify</t>
        </is>
      </c>
      <c r="F127" s="15" t="inlineStr">
        <is>
          <t>Super Thanks enabled on all monetized channels</t>
        </is>
      </c>
      <c r="G127" s="41" t="inlineStr">
        <is>
          <t>Ops</t>
        </is>
      </c>
      <c r="H127" s="38" t="inlineStr">
        <is>
          <t>P1</t>
        </is>
      </c>
      <c r="I127" s="10" t="n">
        <v>0.5</v>
      </c>
      <c r="J127" s="15" t="inlineStr"/>
      <c r="K127" s="10" t="inlineStr">
        <is>
          <t>Not started</t>
        </is>
      </c>
    </row>
    <row r="128">
      <c r="A128" s="10" t="n">
        <v>127</v>
      </c>
      <c r="B128" s="10" t="inlineStr">
        <is>
          <t>2026-08-21</t>
        </is>
      </c>
      <c r="C128" s="10" t="n">
        <v>19</v>
      </c>
      <c r="D128" s="10" t="n">
        <v>5</v>
      </c>
      <c r="E128" s="10" t="inlineStr">
        <is>
          <t>6. Diversify</t>
        </is>
      </c>
      <c r="F128" s="15" t="inlineStr">
        <is>
          <t>Analyze YouTube Premium revenue share per channel — optimize for it</t>
        </is>
      </c>
      <c r="G128" s="37" t="inlineStr">
        <is>
          <t>Analytics</t>
        </is>
      </c>
      <c r="H128" s="28" t="inlineStr">
        <is>
          <t>P2</t>
        </is>
      </c>
      <c r="I128" s="10" t="n">
        <v>1</v>
      </c>
      <c r="J128" s="15" t="inlineStr"/>
      <c r="K128" s="10" t="inlineStr">
        <is>
          <t>Not started</t>
        </is>
      </c>
    </row>
    <row r="129">
      <c r="A129" s="10" t="n">
        <v>128</v>
      </c>
      <c r="B129" s="10" t="inlineStr">
        <is>
          <t>2026-08-22</t>
        </is>
      </c>
      <c r="C129" s="10" t="n">
        <v>19</v>
      </c>
      <c r="D129" s="10" t="n">
        <v>5</v>
      </c>
      <c r="E129" s="10" t="inlineStr">
        <is>
          <t>6. Diversify</t>
        </is>
      </c>
      <c r="F129" s="15" t="inlineStr">
        <is>
          <t>Second sponsorship — larger deal with mid-tier advertiser</t>
        </is>
      </c>
      <c r="G129" s="30" t="inlineStr">
        <is>
          <t>Marketing</t>
        </is>
      </c>
      <c r="H129" s="36" t="inlineStr">
        <is>
          <t>P0</t>
        </is>
      </c>
      <c r="I129" s="10" t="n">
        <v>1.5</v>
      </c>
      <c r="J129" s="15" t="inlineStr"/>
      <c r="K129" s="10" t="inlineStr">
        <is>
          <t>Not started</t>
        </is>
      </c>
    </row>
    <row r="130">
      <c r="A130" s="10" t="n">
        <v>129</v>
      </c>
      <c r="B130" s="10" t="inlineStr">
        <is>
          <t>2026-08-23</t>
        </is>
      </c>
      <c r="C130" s="10" t="n">
        <v>19</v>
      </c>
      <c r="D130" s="10" t="n">
        <v>5</v>
      </c>
      <c r="E130" s="10" t="inlineStr">
        <is>
          <t>6. Diversify</t>
        </is>
      </c>
      <c r="F130" s="15" t="inlineStr">
        <is>
          <t>Daily ops + content</t>
        </is>
      </c>
      <c r="G130" s="41" t="inlineStr">
        <is>
          <t>Ops</t>
        </is>
      </c>
      <c r="H130" s="28" t="inlineStr">
        <is>
          <t>P2</t>
        </is>
      </c>
      <c r="I130" s="10" t="n">
        <v>1</v>
      </c>
      <c r="J130" s="15" t="inlineStr"/>
      <c r="K130" s="10" t="inlineStr">
        <is>
          <t>Not started</t>
        </is>
      </c>
    </row>
    <row r="131">
      <c r="A131" s="10" t="n">
        <v>130</v>
      </c>
      <c r="B131" s="10" t="inlineStr">
        <is>
          <t>2026-08-24</t>
        </is>
      </c>
      <c r="C131" s="10" t="n">
        <v>19</v>
      </c>
      <c r="D131" s="10" t="n">
        <v>5</v>
      </c>
      <c r="E131" s="10" t="inlineStr">
        <is>
          <t>6. Diversify</t>
        </is>
      </c>
      <c r="F131" s="15" t="inlineStr">
        <is>
          <t>Shorts repurposing to IG Reels + TikTok (cross-platform)</t>
        </is>
      </c>
      <c r="G131" s="11" t="inlineStr">
        <is>
          <t>Content</t>
        </is>
      </c>
      <c r="H131" s="38" t="inlineStr">
        <is>
          <t>P1</t>
        </is>
      </c>
      <c r="I131" s="10" t="n">
        <v>2</v>
      </c>
      <c r="J131" s="15" t="inlineStr"/>
      <c r="K131" s="10" t="inlineStr">
        <is>
          <t>Not started</t>
        </is>
      </c>
    </row>
    <row r="132">
      <c r="A132" s="10" t="n">
        <v>131</v>
      </c>
      <c r="B132" s="10" t="inlineStr">
        <is>
          <t>2026-08-25</t>
        </is>
      </c>
      <c r="C132" s="10" t="n">
        <v>19</v>
      </c>
      <c r="D132" s="10" t="n">
        <v>5</v>
      </c>
      <c r="E132" s="10" t="inlineStr">
        <is>
          <t>6. Diversify</t>
        </is>
      </c>
      <c r="F132" s="15" t="inlineStr">
        <is>
          <t>Measure cross-platform traffic / growth</t>
        </is>
      </c>
      <c r="G132" s="37" t="inlineStr">
        <is>
          <t>Analytics</t>
        </is>
      </c>
      <c r="H132" s="38" t="inlineStr">
        <is>
          <t>P1</t>
        </is>
      </c>
      <c r="I132" s="10" t="n">
        <v>1</v>
      </c>
      <c r="J132" s="15" t="inlineStr"/>
      <c r="K132" s="10" t="inlineStr">
        <is>
          <t>Not started</t>
        </is>
      </c>
    </row>
    <row r="133">
      <c r="A133" s="10" t="n">
        <v>132</v>
      </c>
      <c r="B133" s="10" t="inlineStr">
        <is>
          <t>2026-08-26</t>
        </is>
      </c>
      <c r="C133" s="10" t="n">
        <v>19</v>
      </c>
      <c r="D133" s="10" t="n">
        <v>5</v>
      </c>
      <c r="E133" s="10" t="inlineStr">
        <is>
          <t>6. Diversify</t>
        </is>
      </c>
      <c r="F133" s="15" t="inlineStr">
        <is>
          <t>Affiliate stack: add 2nd and 3rd products to top channel descriptions</t>
        </is>
      </c>
      <c r="G133" s="30" t="inlineStr">
        <is>
          <t>Marketing</t>
        </is>
      </c>
      <c r="H133" s="38" t="inlineStr">
        <is>
          <t>P1</t>
        </is>
      </c>
      <c r="I133" s="10" t="n">
        <v>1</v>
      </c>
      <c r="J133" s="15" t="inlineStr"/>
      <c r="K133" s="10" t="inlineStr">
        <is>
          <t>Not started</t>
        </is>
      </c>
    </row>
    <row r="134">
      <c r="A134" s="10" t="n">
        <v>133</v>
      </c>
      <c r="B134" s="10" t="inlineStr">
        <is>
          <t>2026-08-27</t>
        </is>
      </c>
      <c r="C134" s="10" t="n">
        <v>19</v>
      </c>
      <c r="D134" s="10" t="n">
        <v>5</v>
      </c>
      <c r="E134" s="10" t="inlineStr">
        <is>
          <t>6. Diversify</t>
        </is>
      </c>
      <c r="F134" s="15" t="inlineStr">
        <is>
          <t>Observation day — let things run, just monitor</t>
        </is>
      </c>
      <c r="G134" s="40" t="inlineStr">
        <is>
          <t>Rest</t>
        </is>
      </c>
      <c r="H134" s="28" t="inlineStr">
        <is>
          <t>P2</t>
        </is>
      </c>
      <c r="I134" s="10" t="n">
        <v>0.25</v>
      </c>
      <c r="J134" s="15" t="inlineStr"/>
      <c r="K134" s="10" t="inlineStr">
        <is>
          <t>Not started</t>
        </is>
      </c>
    </row>
    <row r="135">
      <c r="A135" s="10" t="n">
        <v>134</v>
      </c>
      <c r="B135" s="10" t="inlineStr">
        <is>
          <t>2026-08-28</t>
        </is>
      </c>
      <c r="C135" s="10" t="n">
        <v>20</v>
      </c>
      <c r="D135" s="10" t="n">
        <v>5</v>
      </c>
      <c r="E135" s="10" t="inlineStr">
        <is>
          <t>6. Diversify</t>
        </is>
      </c>
      <c r="F135" s="15" t="inlineStr">
        <is>
          <t>Build a weekly report script: net revenue, cost, top videos, actions</t>
        </is>
      </c>
      <c r="G135" s="37" t="inlineStr">
        <is>
          <t>Analytics</t>
        </is>
      </c>
      <c r="H135" s="38" t="inlineStr">
        <is>
          <t>P1</t>
        </is>
      </c>
      <c r="I135" s="10" t="n">
        <v>2.5</v>
      </c>
      <c r="J135" s="15" t="inlineStr"/>
      <c r="K135" s="10" t="inlineStr">
        <is>
          <t>Not started</t>
        </is>
      </c>
    </row>
    <row r="136">
      <c r="A136" s="10" t="n">
        <v>135</v>
      </c>
      <c r="B136" s="10" t="inlineStr">
        <is>
          <t>2026-08-29</t>
        </is>
      </c>
      <c r="C136" s="10" t="n">
        <v>20</v>
      </c>
      <c r="D136" s="10" t="n">
        <v>5</v>
      </c>
      <c r="E136" s="10" t="inlineStr">
        <is>
          <t>6. Diversify</t>
        </is>
      </c>
      <c r="F136" s="15" t="inlineStr">
        <is>
          <t>Publish first weekly report, use it to drive next week</t>
        </is>
      </c>
      <c r="G136" s="37" t="inlineStr">
        <is>
          <t>Analytics</t>
        </is>
      </c>
      <c r="H136" s="38" t="inlineStr">
        <is>
          <t>P1</t>
        </is>
      </c>
      <c r="I136" s="10" t="n">
        <v>0.5</v>
      </c>
      <c r="J136" s="15" t="inlineStr"/>
      <c r="K136" s="10" t="inlineStr">
        <is>
          <t>Not started</t>
        </is>
      </c>
    </row>
    <row r="137">
      <c r="A137" s="10" t="n">
        <v>136</v>
      </c>
      <c r="B137" s="10" t="inlineStr">
        <is>
          <t>2026-08-30</t>
        </is>
      </c>
      <c r="C137" s="10" t="n">
        <v>20</v>
      </c>
      <c r="D137" s="10" t="n">
        <v>5</v>
      </c>
      <c r="E137" s="10" t="inlineStr">
        <is>
          <t>6. Diversify</t>
        </is>
      </c>
      <c r="F137" s="15" t="inlineStr">
        <is>
          <t>Expand Cozy Ambient — test 12-hour ASMR sleep variant</t>
        </is>
      </c>
      <c r="G137" s="11" t="inlineStr">
        <is>
          <t>Content</t>
        </is>
      </c>
      <c r="H137" s="28" t="inlineStr">
        <is>
          <t>P2</t>
        </is>
      </c>
      <c r="I137" s="10" t="n">
        <v>2</v>
      </c>
      <c r="J137" s="15" t="inlineStr"/>
      <c r="K137" s="10" t="inlineStr">
        <is>
          <t>Not started</t>
        </is>
      </c>
    </row>
    <row r="138">
      <c r="A138" s="10" t="n">
        <v>137</v>
      </c>
      <c r="B138" s="10" t="inlineStr">
        <is>
          <t>2026-08-31</t>
        </is>
      </c>
      <c r="C138" s="10" t="n">
        <v>20</v>
      </c>
      <c r="D138" s="10" t="n">
        <v>5</v>
      </c>
      <c r="E138" s="10" t="inlineStr">
        <is>
          <t>6. Diversify</t>
        </is>
      </c>
      <c r="F138" s="15" t="inlineStr">
        <is>
          <t>Sponsorship deal #3 — target tier-two advertiser</t>
        </is>
      </c>
      <c r="G138" s="30" t="inlineStr">
        <is>
          <t>Marketing</t>
        </is>
      </c>
      <c r="H138" s="36" t="inlineStr">
        <is>
          <t>P0</t>
        </is>
      </c>
      <c r="I138" s="10" t="n">
        <v>1.5</v>
      </c>
      <c r="J138" s="15" t="inlineStr"/>
      <c r="K138" s="10" t="inlineStr">
        <is>
          <t>Not started</t>
        </is>
      </c>
    </row>
    <row r="139">
      <c r="A139" s="10" t="n">
        <v>138</v>
      </c>
      <c r="B139" s="10" t="inlineStr">
        <is>
          <t>2026-09-01</t>
        </is>
      </c>
      <c r="C139" s="10" t="n">
        <v>20</v>
      </c>
      <c r="D139" s="10" t="n">
        <v>5</v>
      </c>
      <c r="E139" s="10" t="inlineStr">
        <is>
          <t>6. Diversify</t>
        </is>
      </c>
      <c r="F139" s="15" t="inlineStr">
        <is>
          <t>Evaluate hiring a part-time VA for comment management + research</t>
        </is>
      </c>
      <c r="G139" s="41" t="inlineStr">
        <is>
          <t>Ops</t>
        </is>
      </c>
      <c r="H139" s="38" t="inlineStr">
        <is>
          <t>P1</t>
        </is>
      </c>
      <c r="I139" s="10" t="n">
        <v>1</v>
      </c>
      <c r="J139" s="15" t="inlineStr"/>
      <c r="K139" s="10" t="inlineStr">
        <is>
          <t>Not started</t>
        </is>
      </c>
    </row>
    <row r="140">
      <c r="A140" s="10" t="n">
        <v>139</v>
      </c>
      <c r="B140" s="10" t="inlineStr">
        <is>
          <t>2026-09-02</t>
        </is>
      </c>
      <c r="C140" s="10" t="n">
        <v>20</v>
      </c>
      <c r="D140" s="10" t="n">
        <v>5</v>
      </c>
      <c r="E140" s="10" t="inlineStr">
        <is>
          <t>6. Diversify</t>
        </is>
      </c>
      <c r="F140" s="15" t="inlineStr">
        <is>
          <t>Sidemen mega-compilation: 10-hour version</t>
        </is>
      </c>
      <c r="G140" s="11" t="inlineStr">
        <is>
          <t>Content</t>
        </is>
      </c>
      <c r="H140" s="38" t="inlineStr">
        <is>
          <t>P1</t>
        </is>
      </c>
      <c r="I140" s="10" t="n">
        <v>3.5</v>
      </c>
      <c r="J140" s="15" t="inlineStr"/>
      <c r="K140" s="10" t="inlineStr">
        <is>
          <t>Not started</t>
        </is>
      </c>
    </row>
    <row r="141">
      <c r="A141" s="10" t="n">
        <v>140</v>
      </c>
      <c r="B141" s="10" t="inlineStr">
        <is>
          <t>2026-09-03</t>
        </is>
      </c>
      <c r="C141" s="10" t="n">
        <v>20</v>
      </c>
      <c r="D141" s="10" t="n">
        <v>5</v>
      </c>
      <c r="E141" s="10" t="inlineStr">
        <is>
          <t>6. Diversify</t>
        </is>
      </c>
      <c r="F141" s="15" t="inlineStr">
        <is>
          <t>Upload + premiere schedule</t>
        </is>
      </c>
      <c r="G141" s="11" t="inlineStr">
        <is>
          <t>Content</t>
        </is>
      </c>
      <c r="H141" s="38" t="inlineStr">
        <is>
          <t>P1</t>
        </is>
      </c>
      <c r="I141" s="10" t="n">
        <v>0.5</v>
      </c>
      <c r="J141" s="15" t="inlineStr"/>
      <c r="K141" s="10" t="inlineStr">
        <is>
          <t>Not started</t>
        </is>
      </c>
    </row>
    <row r="142">
      <c r="A142" s="10" t="n">
        <v>141</v>
      </c>
      <c r="B142" s="10" t="inlineStr">
        <is>
          <t>2026-09-04</t>
        </is>
      </c>
      <c r="C142" s="10" t="n">
        <v>21</v>
      </c>
      <c r="D142" s="10" t="n">
        <v>5</v>
      </c>
      <c r="E142" s="10" t="inlineStr">
        <is>
          <t>6. Diversify</t>
        </is>
      </c>
      <c r="F142" s="15" t="inlineStr">
        <is>
          <t>Daily ops</t>
        </is>
      </c>
      <c r="G142" s="41" t="inlineStr">
        <is>
          <t>Ops</t>
        </is>
      </c>
      <c r="H142" s="28" t="inlineStr">
        <is>
          <t>P2</t>
        </is>
      </c>
      <c r="I142" s="10" t="n">
        <v>0.75</v>
      </c>
      <c r="J142" s="15" t="inlineStr"/>
      <c r="K142" s="10" t="inlineStr">
        <is>
          <t>Not started</t>
        </is>
      </c>
    </row>
    <row r="143">
      <c r="A143" s="10" t="n">
        <v>142</v>
      </c>
      <c r="B143" s="10" t="inlineStr">
        <is>
          <t>2026-09-05</t>
        </is>
      </c>
      <c r="C143" s="10" t="n">
        <v>21</v>
      </c>
      <c r="D143" s="10" t="n">
        <v>5</v>
      </c>
      <c r="E143" s="10" t="inlineStr">
        <is>
          <t>6. Diversify</t>
        </is>
      </c>
      <c r="F143" s="15" t="inlineStr">
        <is>
          <t>Hit $8k/mo milestone check — course-correct if not on track</t>
        </is>
      </c>
      <c r="G143" s="37" t="inlineStr">
        <is>
          <t>Analytics</t>
        </is>
      </c>
      <c r="H143" s="36" t="inlineStr">
        <is>
          <t>P0</t>
        </is>
      </c>
      <c r="I143" s="10" t="n">
        <v>1.5</v>
      </c>
      <c r="J143" s="15" t="inlineStr"/>
      <c r="K143" s="10" t="inlineStr">
        <is>
          <t>Not started</t>
        </is>
      </c>
    </row>
    <row r="144">
      <c r="A144" s="10" t="n">
        <v>143</v>
      </c>
      <c r="B144" s="10" t="inlineStr">
        <is>
          <t>2026-09-06</t>
        </is>
      </c>
      <c r="C144" s="10" t="n">
        <v>21</v>
      </c>
      <c r="D144" s="10" t="n">
        <v>5</v>
      </c>
      <c r="E144" s="10" t="inlineStr">
        <is>
          <t>6. Diversify</t>
        </is>
      </c>
      <c r="F144" s="15" t="inlineStr">
        <is>
          <t>Write case-study doc to pitch future sponsors (numbers + audience)</t>
        </is>
      </c>
      <c r="G144" s="30" t="inlineStr">
        <is>
          <t>Marketing</t>
        </is>
      </c>
      <c r="H144" s="38" t="inlineStr">
        <is>
          <t>P1</t>
        </is>
      </c>
      <c r="I144" s="10" t="n">
        <v>2</v>
      </c>
      <c r="J144" s="15" t="inlineStr"/>
      <c r="K144" s="10" t="inlineStr">
        <is>
          <t>Not started</t>
        </is>
      </c>
    </row>
    <row r="145">
      <c r="A145" s="10" t="n">
        <v>144</v>
      </c>
      <c r="B145" s="10" t="inlineStr">
        <is>
          <t>2026-09-07</t>
        </is>
      </c>
      <c r="C145" s="10" t="n">
        <v>21</v>
      </c>
      <c r="D145" s="10" t="n">
        <v>5</v>
      </c>
      <c r="E145" s="10" t="inlineStr">
        <is>
          <t>6. Diversify</t>
        </is>
      </c>
      <c r="F145" s="15" t="inlineStr">
        <is>
          <t>Reach out to agency that reps multi-channel creators</t>
        </is>
      </c>
      <c r="G145" s="30" t="inlineStr">
        <is>
          <t>Marketing</t>
        </is>
      </c>
      <c r="H145" s="38" t="inlineStr">
        <is>
          <t>P1</t>
        </is>
      </c>
      <c r="I145" s="10" t="n">
        <v>1</v>
      </c>
      <c r="J145" s="15" t="inlineStr"/>
      <c r="K145" s="10" t="inlineStr">
        <is>
          <t>Not started</t>
        </is>
      </c>
    </row>
    <row r="146">
      <c r="A146" s="10" t="n">
        <v>145</v>
      </c>
      <c r="B146" s="10" t="inlineStr">
        <is>
          <t>2026-09-08</t>
        </is>
      </c>
      <c r="C146" s="10" t="n">
        <v>21</v>
      </c>
      <c r="D146" s="10" t="n">
        <v>5</v>
      </c>
      <c r="E146" s="10" t="inlineStr">
        <is>
          <t>6. Diversify</t>
        </is>
      </c>
      <c r="F146" s="15" t="inlineStr">
        <is>
          <t>Review algorithm changes this past month — any ranking shifts?</t>
        </is>
      </c>
      <c r="G146" s="37" t="inlineStr">
        <is>
          <t>Analytics</t>
        </is>
      </c>
      <c r="H146" s="38" t="inlineStr">
        <is>
          <t>P1</t>
        </is>
      </c>
      <c r="I146" s="10" t="n">
        <v>1</v>
      </c>
      <c r="J146" s="15" t="inlineStr"/>
      <c r="K146" s="10" t="inlineStr">
        <is>
          <t>Not started</t>
        </is>
      </c>
    </row>
    <row r="147">
      <c r="A147" s="10" t="n">
        <v>146</v>
      </c>
      <c r="B147" s="10" t="inlineStr">
        <is>
          <t>2026-09-09</t>
        </is>
      </c>
      <c r="C147" s="10" t="n">
        <v>21</v>
      </c>
      <c r="D147" s="10" t="n">
        <v>5</v>
      </c>
      <c r="E147" s="10" t="inlineStr">
        <is>
          <t>6. Diversify</t>
        </is>
      </c>
      <c r="F147" s="15" t="inlineStr">
        <is>
          <t>Optimize thumbnails on top 20 videos (highest-traffic get refresh)</t>
        </is>
      </c>
      <c r="G147" s="39" t="inlineStr">
        <is>
          <t>Optimization</t>
        </is>
      </c>
      <c r="H147" s="38" t="inlineStr">
        <is>
          <t>P1</t>
        </is>
      </c>
      <c r="I147" s="10" t="n">
        <v>2</v>
      </c>
      <c r="J147" s="15" t="inlineStr"/>
      <c r="K147" s="10" t="inlineStr">
        <is>
          <t>Not started</t>
        </is>
      </c>
    </row>
    <row r="148">
      <c r="A148" s="10" t="n">
        <v>147</v>
      </c>
      <c r="B148" s="10" t="inlineStr">
        <is>
          <t>2026-09-10</t>
        </is>
      </c>
      <c r="C148" s="10" t="n">
        <v>21</v>
      </c>
      <c r="D148" s="10" t="n">
        <v>5</v>
      </c>
      <c r="E148" s="10" t="inlineStr">
        <is>
          <t>6. Diversify</t>
        </is>
      </c>
      <c r="F148" s="15" t="inlineStr">
        <is>
          <t>Light day</t>
        </is>
      </c>
      <c r="G148" s="40" t="inlineStr">
        <is>
          <t>Rest</t>
        </is>
      </c>
      <c r="H148" s="28" t="inlineStr">
        <is>
          <t>P2</t>
        </is>
      </c>
      <c r="I148" s="10" t="n">
        <v>0.5</v>
      </c>
      <c r="J148" s="15" t="inlineStr"/>
      <c r="K148" s="10" t="inlineStr">
        <is>
          <t>Not started</t>
        </is>
      </c>
    </row>
    <row r="149">
      <c r="A149" s="10" t="n">
        <v>148</v>
      </c>
      <c r="B149" s="10" t="inlineStr">
        <is>
          <t>2026-09-11</t>
        </is>
      </c>
      <c r="C149" s="10" t="n">
        <v>22</v>
      </c>
      <c r="D149" s="10" t="n">
        <v>5</v>
      </c>
      <c r="E149" s="10" t="inlineStr">
        <is>
          <t>6. Diversify</t>
        </is>
      </c>
      <c r="F149" s="15" t="inlineStr">
        <is>
          <t>Record behind-the-scenes / making-of video (fan-funnel content)</t>
        </is>
      </c>
      <c r="G149" s="11" t="inlineStr">
        <is>
          <t>Content</t>
        </is>
      </c>
      <c r="H149" s="28" t="inlineStr">
        <is>
          <t>P2</t>
        </is>
      </c>
      <c r="I149" s="10" t="n">
        <v>2</v>
      </c>
      <c r="J149" s="15" t="inlineStr"/>
      <c r="K149" s="10" t="inlineStr">
        <is>
          <t>Not started</t>
        </is>
      </c>
    </row>
    <row r="150">
      <c r="A150" s="10" t="n">
        <v>149</v>
      </c>
      <c r="B150" s="10" t="inlineStr">
        <is>
          <t>2026-09-12</t>
        </is>
      </c>
      <c r="C150" s="10" t="n">
        <v>22</v>
      </c>
      <c r="D150" s="10" t="n">
        <v>5</v>
      </c>
      <c r="E150" s="10" t="inlineStr">
        <is>
          <t>6. Diversify</t>
        </is>
      </c>
      <c r="F150" s="15" t="inlineStr">
        <is>
          <t>Publish BTS on top channel + Patreon tease</t>
        </is>
      </c>
      <c r="G150" s="11" t="inlineStr">
        <is>
          <t>Content</t>
        </is>
      </c>
      <c r="H150" s="28" t="inlineStr">
        <is>
          <t>P2</t>
        </is>
      </c>
      <c r="I150" s="10" t="n">
        <v>0.5</v>
      </c>
      <c r="J150" s="15" t="inlineStr"/>
      <c r="K150" s="10" t="inlineStr">
        <is>
          <t>Not started</t>
        </is>
      </c>
    </row>
    <row r="151">
      <c r="A151" s="10" t="n">
        <v>150</v>
      </c>
      <c r="B151" s="10" t="inlineStr">
        <is>
          <t>2026-09-13</t>
        </is>
      </c>
      <c r="C151" s="10" t="n">
        <v>22</v>
      </c>
      <c r="D151" s="10" t="n">
        <v>5</v>
      </c>
      <c r="E151" s="10" t="inlineStr">
        <is>
          <t>6. Diversify</t>
        </is>
      </c>
      <c r="F151" s="15" t="inlineStr">
        <is>
          <t>Phase 6 retro — diversification: what's the multiplier on ad revenue now?</t>
        </is>
      </c>
      <c r="G151" s="37" t="inlineStr">
        <is>
          <t>Analytics</t>
        </is>
      </c>
      <c r="H151" s="36" t="inlineStr">
        <is>
          <t>P0</t>
        </is>
      </c>
      <c r="I151" s="10" t="n">
        <v>2</v>
      </c>
      <c r="J151" s="15" t="inlineStr"/>
      <c r="K151" s="10" t="inlineStr">
        <is>
          <t>Not started</t>
        </is>
      </c>
    </row>
    <row r="152">
      <c r="A152" s="10" t="n">
        <v>151</v>
      </c>
      <c r="B152" s="10" t="inlineStr">
        <is>
          <t>2026-09-14</t>
        </is>
      </c>
      <c r="C152" s="10" t="n">
        <v>22</v>
      </c>
      <c r="D152" s="10" t="n">
        <v>6</v>
      </c>
      <c r="E152" s="10" t="inlineStr">
        <is>
          <t>7. Target Hit</t>
        </is>
      </c>
      <c r="F152" s="15" t="inlineStr">
        <is>
          <t>Set the $20k target visibly — daily dashboard check</t>
        </is>
      </c>
      <c r="G152" s="41" t="inlineStr">
        <is>
          <t>Ops</t>
        </is>
      </c>
      <c r="H152" s="36" t="inlineStr">
        <is>
          <t>P0</t>
        </is>
      </c>
      <c r="I152" s="10" t="n">
        <v>0.25</v>
      </c>
      <c r="J152" s="15" t="inlineStr"/>
      <c r="K152" s="10" t="inlineStr">
        <is>
          <t>Not started</t>
        </is>
      </c>
    </row>
    <row r="153">
      <c r="A153" s="10" t="n">
        <v>152</v>
      </c>
      <c r="B153" s="10" t="inlineStr">
        <is>
          <t>2026-09-15</t>
        </is>
      </c>
      <c r="C153" s="10" t="n">
        <v>22</v>
      </c>
      <c r="D153" s="10" t="n">
        <v>6</v>
      </c>
      <c r="E153" s="10" t="inlineStr">
        <is>
          <t>7. Target Hit</t>
        </is>
      </c>
      <c r="F153" s="15" t="inlineStr">
        <is>
          <t>Analyze: which channels are still accelerating, which plateaued?</t>
        </is>
      </c>
      <c r="G153" s="37" t="inlineStr">
        <is>
          <t>Analytics</t>
        </is>
      </c>
      <c r="H153" s="36" t="inlineStr">
        <is>
          <t>P0</t>
        </is>
      </c>
      <c r="I153" s="10" t="n">
        <v>2</v>
      </c>
      <c r="J153" s="15" t="inlineStr"/>
      <c r="K153" s="10" t="inlineStr">
        <is>
          <t>Not started</t>
        </is>
      </c>
    </row>
    <row r="154">
      <c r="A154" s="10" t="n">
        <v>153</v>
      </c>
      <c r="B154" s="10" t="inlineStr">
        <is>
          <t>2026-09-16</t>
        </is>
      </c>
      <c r="C154" s="10" t="n">
        <v>22</v>
      </c>
      <c r="D154" s="10" t="n">
        <v>6</v>
      </c>
      <c r="E154" s="10" t="inlineStr">
        <is>
          <t>7. Target Hit</t>
        </is>
      </c>
      <c r="F154" s="15" t="inlineStr">
        <is>
          <t>Pour extra content budget on accelerating ones (more videos/week)</t>
        </is>
      </c>
      <c r="G154" s="41" t="inlineStr">
        <is>
          <t>Ops</t>
        </is>
      </c>
      <c r="H154" s="38" t="inlineStr">
        <is>
          <t>P1</t>
        </is>
      </c>
      <c r="I154" s="10" t="n">
        <v>1</v>
      </c>
      <c r="J154" s="15" t="inlineStr"/>
      <c r="K154" s="10" t="inlineStr">
        <is>
          <t>Not started</t>
        </is>
      </c>
    </row>
    <row r="155">
      <c r="A155" s="10" t="n">
        <v>154</v>
      </c>
      <c r="B155" s="10" t="inlineStr">
        <is>
          <t>2026-09-17</t>
        </is>
      </c>
      <c r="C155" s="10" t="n">
        <v>22</v>
      </c>
      <c r="D155" s="10" t="n">
        <v>6</v>
      </c>
      <c r="E155" s="10" t="inlineStr">
        <is>
          <t>7. Target Hit</t>
        </is>
      </c>
      <c r="F155" s="15" t="inlineStr">
        <is>
          <t>Third sponsorship tier — longer deals (quarterly), higher rates</t>
        </is>
      </c>
      <c r="G155" s="30" t="inlineStr">
        <is>
          <t>Marketing</t>
        </is>
      </c>
      <c r="H155" s="36" t="inlineStr">
        <is>
          <t>P0</t>
        </is>
      </c>
      <c r="I155" s="10" t="n">
        <v>2</v>
      </c>
      <c r="J155" s="15" t="inlineStr"/>
      <c r="K155" s="10" t="inlineStr">
        <is>
          <t>Not started</t>
        </is>
      </c>
    </row>
    <row r="156">
      <c r="A156" s="10" t="n">
        <v>155</v>
      </c>
      <c r="B156" s="10" t="inlineStr">
        <is>
          <t>2026-09-18</t>
        </is>
      </c>
      <c r="C156" s="10" t="n">
        <v>23</v>
      </c>
      <c r="D156" s="10" t="n">
        <v>6</v>
      </c>
      <c r="E156" s="10" t="inlineStr">
        <is>
          <t>7. Target Hit</t>
        </is>
      </c>
      <c r="F156" s="15" t="inlineStr">
        <is>
          <t>Daily ops + community</t>
        </is>
      </c>
      <c r="G156" s="41" t="inlineStr">
        <is>
          <t>Ops</t>
        </is>
      </c>
      <c r="H156" s="38" t="inlineStr">
        <is>
          <t>P1</t>
        </is>
      </c>
      <c r="I156" s="10" t="n">
        <v>0.75</v>
      </c>
      <c r="J156" s="15" t="inlineStr"/>
      <c r="K156" s="10" t="inlineStr">
        <is>
          <t>Not started</t>
        </is>
      </c>
    </row>
    <row r="157">
      <c r="A157" s="10" t="n">
        <v>156</v>
      </c>
      <c r="B157" s="10" t="inlineStr">
        <is>
          <t>2026-09-19</t>
        </is>
      </c>
      <c r="C157" s="10" t="n">
        <v>23</v>
      </c>
      <c r="D157" s="10" t="n">
        <v>6</v>
      </c>
      <c r="E157" s="10" t="inlineStr">
        <is>
          <t>7. Target Hit</t>
        </is>
      </c>
      <c r="F157" s="15" t="inlineStr">
        <is>
          <t>Consolidate best tactics doc — what consistently works</t>
        </is>
      </c>
      <c r="G157" s="37" t="inlineStr">
        <is>
          <t>Analytics</t>
        </is>
      </c>
      <c r="H157" s="38" t="inlineStr">
        <is>
          <t>P1</t>
        </is>
      </c>
      <c r="I157" s="10" t="n">
        <v>2</v>
      </c>
      <c r="J157" s="15" t="inlineStr"/>
      <c r="K157" s="10" t="inlineStr">
        <is>
          <t>Not started</t>
        </is>
      </c>
    </row>
    <row r="158">
      <c r="A158" s="10" t="n">
        <v>157</v>
      </c>
      <c r="B158" s="10" t="inlineStr">
        <is>
          <t>2026-09-20</t>
        </is>
      </c>
      <c r="C158" s="10" t="n">
        <v>23</v>
      </c>
      <c r="D158" s="10" t="n">
        <v>6</v>
      </c>
      <c r="E158" s="10" t="inlineStr">
        <is>
          <t>7. Target Hit</t>
        </is>
      </c>
      <c r="F158" s="15" t="inlineStr">
        <is>
          <t>Test premium video format on top channel (fancier visuals / guest voice)</t>
        </is>
      </c>
      <c r="G158" s="11" t="inlineStr">
        <is>
          <t>Content</t>
        </is>
      </c>
      <c r="H158" s="38" t="inlineStr">
        <is>
          <t>P1</t>
        </is>
      </c>
      <c r="I158" s="10" t="n">
        <v>3</v>
      </c>
      <c r="J158" s="15" t="inlineStr"/>
      <c r="K158" s="10" t="inlineStr">
        <is>
          <t>Not started</t>
        </is>
      </c>
    </row>
    <row r="159">
      <c r="A159" s="10" t="n">
        <v>158</v>
      </c>
      <c r="B159" s="10" t="inlineStr">
        <is>
          <t>2026-09-21</t>
        </is>
      </c>
      <c r="C159" s="10" t="n">
        <v>23</v>
      </c>
      <c r="D159" s="10" t="n">
        <v>6</v>
      </c>
      <c r="E159" s="10" t="inlineStr">
        <is>
          <t>7. Target Hit</t>
        </is>
      </c>
      <c r="F159" s="15" t="inlineStr">
        <is>
          <t>Measure premium format lift</t>
        </is>
      </c>
      <c r="G159" s="37" t="inlineStr">
        <is>
          <t>Analytics</t>
        </is>
      </c>
      <c r="H159" s="38" t="inlineStr">
        <is>
          <t>P1</t>
        </is>
      </c>
      <c r="I159" s="10" t="n">
        <v>1</v>
      </c>
      <c r="J159" s="15" t="inlineStr"/>
      <c r="K159" s="10" t="inlineStr">
        <is>
          <t>Not started</t>
        </is>
      </c>
    </row>
    <row r="160">
      <c r="A160" s="10" t="n">
        <v>159</v>
      </c>
      <c r="B160" s="10" t="inlineStr">
        <is>
          <t>2026-09-22</t>
        </is>
      </c>
      <c r="C160" s="10" t="n">
        <v>23</v>
      </c>
      <c r="D160" s="10" t="n">
        <v>6</v>
      </c>
      <c r="E160" s="10" t="inlineStr">
        <is>
          <t>7. Target Hit</t>
        </is>
      </c>
      <c r="F160" s="15" t="inlineStr">
        <is>
          <t>Expand video library — 2 videos/day on reddit_stories during sprint</t>
        </is>
      </c>
      <c r="G160" s="11" t="inlineStr">
        <is>
          <t>Content</t>
        </is>
      </c>
      <c r="H160" s="38" t="inlineStr">
        <is>
          <t>P1</t>
        </is>
      </c>
      <c r="I160" s="10" t="n">
        <v>1.5</v>
      </c>
      <c r="J160" s="15" t="inlineStr"/>
      <c r="K160" s="10" t="inlineStr">
        <is>
          <t>Not started</t>
        </is>
      </c>
    </row>
    <row r="161">
      <c r="A161" s="10" t="n">
        <v>160</v>
      </c>
      <c r="B161" s="10" t="inlineStr">
        <is>
          <t>2026-09-23</t>
        </is>
      </c>
      <c r="C161" s="10" t="n">
        <v>23</v>
      </c>
      <c r="D161" s="10" t="n">
        <v>6</v>
      </c>
      <c r="E161" s="10" t="inlineStr">
        <is>
          <t>7. Target Hit</t>
        </is>
      </c>
      <c r="F161" s="15" t="inlineStr">
        <is>
          <t>Observation day</t>
        </is>
      </c>
      <c r="G161" s="40" t="inlineStr">
        <is>
          <t>Rest</t>
        </is>
      </c>
      <c r="H161" s="28" t="inlineStr">
        <is>
          <t>P2</t>
        </is>
      </c>
      <c r="I161" s="10" t="n">
        <v>0.25</v>
      </c>
      <c r="J161" s="15" t="inlineStr"/>
      <c r="K161" s="10" t="inlineStr">
        <is>
          <t>Not started</t>
        </is>
      </c>
    </row>
    <row r="162">
      <c r="A162" s="10" t="n">
        <v>161</v>
      </c>
      <c r="B162" s="10" t="inlineStr">
        <is>
          <t>2026-09-24</t>
        </is>
      </c>
      <c r="C162" s="10" t="n">
        <v>23</v>
      </c>
      <c r="D162" s="10" t="n">
        <v>6</v>
      </c>
      <c r="E162" s="10" t="inlineStr">
        <is>
          <t>7. Target Hit</t>
        </is>
      </c>
      <c r="F162" s="15" t="inlineStr">
        <is>
          <t>Premium email newsletter for super-fans (Substack / Convertkit)</t>
        </is>
      </c>
      <c r="G162" s="30" t="inlineStr">
        <is>
          <t>Marketing</t>
        </is>
      </c>
      <c r="H162" s="28" t="inlineStr">
        <is>
          <t>P2</t>
        </is>
      </c>
      <c r="I162" s="10" t="n">
        <v>2.5</v>
      </c>
      <c r="J162" s="15" t="inlineStr"/>
      <c r="K162" s="10" t="inlineStr">
        <is>
          <t>Not started</t>
        </is>
      </c>
    </row>
    <row r="163">
      <c r="A163" s="10" t="n">
        <v>162</v>
      </c>
      <c r="B163" s="10" t="inlineStr">
        <is>
          <t>2026-09-25</t>
        </is>
      </c>
      <c r="C163" s="10" t="n">
        <v>24</v>
      </c>
      <c r="D163" s="10" t="n">
        <v>6</v>
      </c>
      <c r="E163" s="10" t="inlineStr">
        <is>
          <t>7. Target Hit</t>
        </is>
      </c>
      <c r="F163" s="15" t="inlineStr">
        <is>
          <t>Announce newsletter on all channels — build owned audience</t>
        </is>
      </c>
      <c r="G163" s="30" t="inlineStr">
        <is>
          <t>Marketing</t>
        </is>
      </c>
      <c r="H163" s="38" t="inlineStr">
        <is>
          <t>P1</t>
        </is>
      </c>
      <c r="I163" s="10" t="n">
        <v>0.5</v>
      </c>
      <c r="J163" s="15" t="inlineStr"/>
      <c r="K163" s="10" t="inlineStr">
        <is>
          <t>Not started</t>
        </is>
      </c>
    </row>
    <row r="164">
      <c r="A164" s="10" t="n">
        <v>163</v>
      </c>
      <c r="B164" s="10" t="inlineStr">
        <is>
          <t>2026-09-26</t>
        </is>
      </c>
      <c r="C164" s="10" t="n">
        <v>24</v>
      </c>
      <c r="D164" s="10" t="n">
        <v>6</v>
      </c>
      <c r="E164" s="10" t="inlineStr">
        <is>
          <t>7. Target Hit</t>
        </is>
      </c>
      <c r="F164" s="15" t="inlineStr">
        <is>
          <t>Daily ops</t>
        </is>
      </c>
      <c r="G164" s="41" t="inlineStr">
        <is>
          <t>Ops</t>
        </is>
      </c>
      <c r="H164" s="28" t="inlineStr">
        <is>
          <t>P2</t>
        </is>
      </c>
      <c r="I164" s="10" t="n">
        <v>0.75</v>
      </c>
      <c r="J164" s="15" t="inlineStr"/>
      <c r="K164" s="10" t="inlineStr">
        <is>
          <t>Not started</t>
        </is>
      </c>
    </row>
    <row r="165">
      <c r="A165" s="10" t="n">
        <v>164</v>
      </c>
      <c r="B165" s="10" t="inlineStr">
        <is>
          <t>2026-09-27</t>
        </is>
      </c>
      <c r="C165" s="10" t="n">
        <v>24</v>
      </c>
      <c r="D165" s="10" t="n">
        <v>6</v>
      </c>
      <c r="E165" s="10" t="inlineStr">
        <is>
          <t>7. Target Hit</t>
        </is>
      </c>
      <c r="F165" s="15" t="inlineStr">
        <is>
          <t>Auto-publish schedule audit — ensure all 9 channels have 30-day queue</t>
        </is>
      </c>
      <c r="G165" s="41" t="inlineStr">
        <is>
          <t>Ops</t>
        </is>
      </c>
      <c r="H165" s="38" t="inlineStr">
        <is>
          <t>P1</t>
        </is>
      </c>
      <c r="I165" s="10" t="n">
        <v>2</v>
      </c>
      <c r="J165" s="15" t="inlineStr"/>
      <c r="K165" s="10" t="inlineStr">
        <is>
          <t>Not started</t>
        </is>
      </c>
    </row>
    <row r="166">
      <c r="A166" s="10" t="n">
        <v>165</v>
      </c>
      <c r="B166" s="10" t="inlineStr">
        <is>
          <t>2026-09-28</t>
        </is>
      </c>
      <c r="C166" s="10" t="n">
        <v>24</v>
      </c>
      <c r="D166" s="10" t="n">
        <v>6</v>
      </c>
      <c r="E166" s="10" t="inlineStr">
        <is>
          <t>7. Target Hit</t>
        </is>
      </c>
      <c r="F166" s="15" t="inlineStr">
        <is>
          <t>YouTube Partner Manager outreach (if &gt;250k subs on any channel)</t>
        </is>
      </c>
      <c r="G166" s="30" t="inlineStr">
        <is>
          <t>Marketing</t>
        </is>
      </c>
      <c r="H166" s="38" t="inlineStr">
        <is>
          <t>P1</t>
        </is>
      </c>
      <c r="I166" s="10" t="n">
        <v>1</v>
      </c>
      <c r="J166" s="15" t="inlineStr"/>
      <c r="K166" s="10" t="inlineStr">
        <is>
          <t>Not started</t>
        </is>
      </c>
    </row>
    <row r="167">
      <c r="A167" s="10" t="n">
        <v>166</v>
      </c>
      <c r="B167" s="10" t="inlineStr">
        <is>
          <t>2026-09-29</t>
        </is>
      </c>
      <c r="C167" s="10" t="n">
        <v>24</v>
      </c>
      <c r="D167" s="10" t="n">
        <v>6</v>
      </c>
      <c r="E167" s="10" t="inlineStr">
        <is>
          <t>7. Target Hit</t>
        </is>
      </c>
      <c r="F167" s="15" t="inlineStr">
        <is>
          <t>Press outreach — podcasts, business blogs covering creator economy</t>
        </is>
      </c>
      <c r="G167" s="30" t="inlineStr">
        <is>
          <t>Marketing</t>
        </is>
      </c>
      <c r="H167" s="28" t="inlineStr">
        <is>
          <t>P2</t>
        </is>
      </c>
      <c r="I167" s="10" t="n">
        <v>2</v>
      </c>
      <c r="J167" s="15" t="inlineStr"/>
      <c r="K167" s="10" t="inlineStr">
        <is>
          <t>Not started</t>
        </is>
      </c>
    </row>
    <row r="168">
      <c r="A168" s="10" t="n">
        <v>167</v>
      </c>
      <c r="B168" s="10" t="inlineStr">
        <is>
          <t>2026-09-30</t>
        </is>
      </c>
      <c r="C168" s="10" t="n">
        <v>24</v>
      </c>
      <c r="D168" s="10" t="n">
        <v>6</v>
      </c>
      <c r="E168" s="10" t="inlineStr">
        <is>
          <t>7. Target Hit</t>
        </is>
      </c>
      <c r="F168" s="15" t="inlineStr">
        <is>
          <t>Sign VA for 20hr/week (comment moderation, basic research)</t>
        </is>
      </c>
      <c r="G168" s="41" t="inlineStr">
        <is>
          <t>Ops</t>
        </is>
      </c>
      <c r="H168" s="38" t="inlineStr">
        <is>
          <t>P1</t>
        </is>
      </c>
      <c r="I168" s="10" t="n">
        <v>1.5</v>
      </c>
      <c r="J168" s="15" t="inlineStr"/>
      <c r="K168" s="10" t="inlineStr">
        <is>
          <t>Not started</t>
        </is>
      </c>
    </row>
    <row r="169">
      <c r="A169" s="10" t="n">
        <v>168</v>
      </c>
      <c r="B169" s="10" t="inlineStr">
        <is>
          <t>2026-10-01</t>
        </is>
      </c>
      <c r="C169" s="10" t="n">
        <v>24</v>
      </c>
      <c r="D169" s="10" t="n">
        <v>6</v>
      </c>
      <c r="E169" s="10" t="inlineStr">
        <is>
          <t>7. Target Hit</t>
        </is>
      </c>
      <c r="F169" s="15" t="inlineStr">
        <is>
          <t>Onboard VA, document all SOPs</t>
        </is>
      </c>
      <c r="G169" s="41" t="inlineStr">
        <is>
          <t>Ops</t>
        </is>
      </c>
      <c r="H169" s="38" t="inlineStr">
        <is>
          <t>P1</t>
        </is>
      </c>
      <c r="I169" s="10" t="n">
        <v>3</v>
      </c>
      <c r="J169" s="15" t="inlineStr"/>
      <c r="K169" s="10" t="inlineStr">
        <is>
          <t>Not started</t>
        </is>
      </c>
    </row>
    <row r="170">
      <c r="A170" s="10" t="n">
        <v>169</v>
      </c>
      <c r="B170" s="10" t="inlineStr">
        <is>
          <t>2026-10-02</t>
        </is>
      </c>
      <c r="C170" s="10" t="n">
        <v>25</v>
      </c>
      <c r="D170" s="10" t="n">
        <v>6</v>
      </c>
      <c r="E170" s="10" t="inlineStr">
        <is>
          <t>7. Target Hit</t>
        </is>
      </c>
      <c r="F170" s="15" t="inlineStr">
        <is>
          <t>Light day with VA handling ops</t>
        </is>
      </c>
      <c r="G170" s="40" t="inlineStr">
        <is>
          <t>Rest</t>
        </is>
      </c>
      <c r="H170" s="28" t="inlineStr">
        <is>
          <t>P2</t>
        </is>
      </c>
      <c r="I170" s="10" t="n">
        <v>0.5</v>
      </c>
      <c r="J170" s="15" t="inlineStr"/>
      <c r="K170" s="10" t="inlineStr">
        <is>
          <t>Not started</t>
        </is>
      </c>
    </row>
    <row r="171">
      <c r="A171" s="10" t="n">
        <v>170</v>
      </c>
      <c r="B171" s="10" t="inlineStr">
        <is>
          <t>2026-10-03</t>
        </is>
      </c>
      <c r="C171" s="10" t="n">
        <v>25</v>
      </c>
      <c r="D171" s="10" t="n">
        <v>6</v>
      </c>
      <c r="E171" s="10" t="inlineStr">
        <is>
          <t>7. Target Hit</t>
        </is>
      </c>
      <c r="F171" s="15" t="inlineStr">
        <is>
          <t>Test: fully automated week — you do only strategy, VA + crons handle rest</t>
        </is>
      </c>
      <c r="G171" s="41" t="inlineStr">
        <is>
          <t>Ops</t>
        </is>
      </c>
      <c r="H171" s="38" t="inlineStr">
        <is>
          <t>P1</t>
        </is>
      </c>
      <c r="I171" s="10" t="n">
        <v>1</v>
      </c>
      <c r="J171" s="15" t="inlineStr"/>
      <c r="K171" s="10" t="inlineStr">
        <is>
          <t>Not started</t>
        </is>
      </c>
    </row>
    <row r="172">
      <c r="A172" s="10" t="n">
        <v>171</v>
      </c>
      <c r="B172" s="10" t="inlineStr">
        <is>
          <t>2026-10-04</t>
        </is>
      </c>
      <c r="C172" s="10" t="n">
        <v>25</v>
      </c>
      <c r="D172" s="10" t="n">
        <v>6</v>
      </c>
      <c r="E172" s="10" t="inlineStr">
        <is>
          <t>7. Target Hit</t>
        </is>
      </c>
      <c r="F172" s="15" t="inlineStr">
        <is>
          <t>Review results of automated week — feasible to scale or not?</t>
        </is>
      </c>
      <c r="G172" s="37" t="inlineStr">
        <is>
          <t>Analytics</t>
        </is>
      </c>
      <c r="H172" s="36" t="inlineStr">
        <is>
          <t>P0</t>
        </is>
      </c>
      <c r="I172" s="10" t="n">
        <v>1.5</v>
      </c>
      <c r="J172" s="15" t="inlineStr"/>
      <c r="K172" s="10" t="inlineStr">
        <is>
          <t>Not started</t>
        </is>
      </c>
    </row>
    <row r="173">
      <c r="A173" s="10" t="n">
        <v>172</v>
      </c>
      <c r="B173" s="10" t="inlineStr">
        <is>
          <t>2026-10-05</t>
        </is>
      </c>
      <c r="C173" s="10" t="n">
        <v>25</v>
      </c>
      <c r="D173" s="10" t="n">
        <v>6</v>
      </c>
      <c r="E173" s="10" t="inlineStr">
        <is>
          <t>7. Target Hit</t>
        </is>
      </c>
      <c r="F173" s="15" t="inlineStr">
        <is>
          <t>Build hiring pipeline for second VA / junior editor</t>
        </is>
      </c>
      <c r="G173" s="41" t="inlineStr">
        <is>
          <t>Ops</t>
        </is>
      </c>
      <c r="H173" s="28" t="inlineStr">
        <is>
          <t>P2</t>
        </is>
      </c>
      <c r="I173" s="10" t="n">
        <v>1.5</v>
      </c>
      <c r="J173" s="15" t="inlineStr"/>
      <c r="K173" s="10" t="inlineStr">
        <is>
          <t>Not started</t>
        </is>
      </c>
    </row>
    <row r="174">
      <c r="A174" s="10" t="n">
        <v>173</v>
      </c>
      <c r="B174" s="10" t="inlineStr">
        <is>
          <t>2026-10-06</t>
        </is>
      </c>
      <c r="C174" s="10" t="n">
        <v>25</v>
      </c>
      <c r="D174" s="10" t="n">
        <v>6</v>
      </c>
      <c r="E174" s="10" t="inlineStr">
        <is>
          <t>7. Target Hit</t>
        </is>
      </c>
      <c r="F174" s="15" t="inlineStr">
        <is>
          <t>Retrospective on all 9 channels ranked by $/hour of your time</t>
        </is>
      </c>
      <c r="G174" s="37" t="inlineStr">
        <is>
          <t>Analytics</t>
        </is>
      </c>
      <c r="H174" s="36" t="inlineStr">
        <is>
          <t>P0</t>
        </is>
      </c>
      <c r="I174" s="10" t="n">
        <v>2.5</v>
      </c>
      <c r="J174" s="15" t="inlineStr"/>
      <c r="K174" s="10" t="inlineStr">
        <is>
          <t>Not started</t>
        </is>
      </c>
    </row>
    <row r="175">
      <c r="A175" s="10" t="n">
        <v>174</v>
      </c>
      <c r="B175" s="10" t="inlineStr">
        <is>
          <t>2026-10-07</t>
        </is>
      </c>
      <c r="C175" s="10" t="n">
        <v>25</v>
      </c>
      <c r="D175" s="10" t="n">
        <v>6</v>
      </c>
      <c r="E175" s="10" t="inlineStr">
        <is>
          <t>7. Target Hit</t>
        </is>
      </c>
      <c r="F175" s="15" t="inlineStr">
        <is>
          <t>Sunset bottom 2 channels, keep budget focused on top 7</t>
        </is>
      </c>
      <c r="G175" s="41" t="inlineStr">
        <is>
          <t>Ops</t>
        </is>
      </c>
      <c r="H175" s="36" t="inlineStr">
        <is>
          <t>P0</t>
        </is>
      </c>
      <c r="I175" s="10" t="n">
        <v>1.5</v>
      </c>
      <c r="J175" s="15" t="inlineStr"/>
      <c r="K175" s="10" t="inlineStr">
        <is>
          <t>Not started</t>
        </is>
      </c>
    </row>
    <row r="176">
      <c r="A176" s="10" t="n">
        <v>175</v>
      </c>
      <c r="B176" s="10" t="inlineStr">
        <is>
          <t>2026-10-08</t>
        </is>
      </c>
      <c r="C176" s="10" t="n">
        <v>25</v>
      </c>
      <c r="D176" s="10" t="n">
        <v>6</v>
      </c>
      <c r="E176" s="10" t="inlineStr">
        <is>
          <t>7. Target Hit</t>
        </is>
      </c>
      <c r="F176" s="15" t="inlineStr">
        <is>
          <t>Scale the winning formula: +1 channel using proven template</t>
        </is>
      </c>
      <c r="G176" s="11" t="inlineStr">
        <is>
          <t>Content</t>
        </is>
      </c>
      <c r="H176" s="38" t="inlineStr">
        <is>
          <t>P1</t>
        </is>
      </c>
      <c r="I176" s="10" t="n">
        <v>3</v>
      </c>
      <c r="J176" s="15" t="inlineStr"/>
      <c r="K176" s="10" t="inlineStr">
        <is>
          <t>Not started</t>
        </is>
      </c>
    </row>
    <row r="177">
      <c r="A177" s="10" t="n">
        <v>176</v>
      </c>
      <c r="B177" s="10" t="inlineStr">
        <is>
          <t>2026-10-09</t>
        </is>
      </c>
      <c r="C177" s="10" t="n">
        <v>26</v>
      </c>
      <c r="D177" s="10" t="n">
        <v>6</v>
      </c>
      <c r="E177" s="10" t="inlineStr">
        <is>
          <t>7. Target Hit</t>
        </is>
      </c>
      <c r="F177" s="15" t="inlineStr">
        <is>
          <t>Launch-day for the new channel — first 3 videos</t>
        </is>
      </c>
      <c r="G177" s="11" t="inlineStr">
        <is>
          <t>Content</t>
        </is>
      </c>
      <c r="H177" s="38" t="inlineStr">
        <is>
          <t>P1</t>
        </is>
      </c>
      <c r="I177" s="10" t="n">
        <v>1.5</v>
      </c>
      <c r="J177" s="15" t="inlineStr"/>
      <c r="K177" s="10" t="inlineStr">
        <is>
          <t>Not started</t>
        </is>
      </c>
    </row>
    <row r="178">
      <c r="A178" s="10" t="n">
        <v>177</v>
      </c>
      <c r="B178" s="10" t="inlineStr">
        <is>
          <t>2026-10-10</t>
        </is>
      </c>
      <c r="C178" s="10" t="n">
        <v>26</v>
      </c>
      <c r="D178" s="10" t="n">
        <v>6</v>
      </c>
      <c r="E178" s="10" t="inlineStr">
        <is>
          <t>7. Target Hit</t>
        </is>
      </c>
      <c r="F178" s="15" t="inlineStr">
        <is>
          <t>Observation — first 48 hours of new channel</t>
        </is>
      </c>
      <c r="G178" s="37" t="inlineStr">
        <is>
          <t>Analytics</t>
        </is>
      </c>
      <c r="H178" s="38" t="inlineStr">
        <is>
          <t>P1</t>
        </is>
      </c>
      <c r="I178" s="10" t="n">
        <v>0.5</v>
      </c>
      <c r="J178" s="15" t="inlineStr"/>
      <c r="K178" s="10" t="inlineStr">
        <is>
          <t>Not started</t>
        </is>
      </c>
    </row>
    <row r="179">
      <c r="A179" s="10" t="n">
        <v>178</v>
      </c>
      <c r="B179" s="10" t="inlineStr">
        <is>
          <t>2026-10-11</t>
        </is>
      </c>
      <c r="C179" s="10" t="n">
        <v>26</v>
      </c>
      <c r="D179" s="10" t="n">
        <v>6</v>
      </c>
      <c r="E179" s="10" t="inlineStr">
        <is>
          <t>7. Target Hit</t>
        </is>
      </c>
      <c r="F179" s="15" t="inlineStr">
        <is>
          <t>End-of-Phase review: month-over-month net profit trend</t>
        </is>
      </c>
      <c r="G179" s="37" t="inlineStr">
        <is>
          <t>Analytics</t>
        </is>
      </c>
      <c r="H179" s="36" t="inlineStr">
        <is>
          <t>P0</t>
        </is>
      </c>
      <c r="I179" s="10" t="n">
        <v>2</v>
      </c>
      <c r="J179" s="15" t="inlineStr"/>
      <c r="K179" s="10" t="inlineStr">
        <is>
          <t>Not started</t>
        </is>
      </c>
    </row>
    <row r="180">
      <c r="A180" s="10" t="n">
        <v>179</v>
      </c>
      <c r="B180" s="10" t="inlineStr">
        <is>
          <t>2026-10-12</t>
        </is>
      </c>
      <c r="C180" s="10" t="n">
        <v>26</v>
      </c>
      <c r="D180" s="10" t="n">
        <v>6</v>
      </c>
      <c r="E180" s="10" t="inlineStr">
        <is>
          <t>7. Target Hit</t>
        </is>
      </c>
      <c r="F180" s="15" t="inlineStr">
        <is>
          <t>$20k/mo milestone check — celebrate or plan the extra push</t>
        </is>
      </c>
      <c r="G180" s="37" t="inlineStr">
        <is>
          <t>Analytics</t>
        </is>
      </c>
      <c r="H180" s="36" t="inlineStr">
        <is>
          <t>P0</t>
        </is>
      </c>
      <c r="I180" s="10" t="n">
        <v>1</v>
      </c>
      <c r="J180" s="15" t="inlineStr"/>
      <c r="K180" s="10" t="inlineStr">
        <is>
          <t>Not started</t>
        </is>
      </c>
    </row>
    <row r="181">
      <c r="A181" s="10" t="n">
        <v>180</v>
      </c>
      <c r="B181" s="10" t="inlineStr">
        <is>
          <t>2026-10-13</t>
        </is>
      </c>
      <c r="C181" s="10" t="n">
        <v>26</v>
      </c>
      <c r="D181" s="10" t="n">
        <v>6</v>
      </c>
      <c r="E181" s="10" t="inlineStr">
        <is>
          <t>7. Target Hit</t>
        </is>
      </c>
      <c r="F181" s="15" t="inlineStr">
        <is>
          <t>Draft Year-2 plan: scale to $50k/mo — same formula, more channels</t>
        </is>
      </c>
      <c r="G181" s="41" t="inlineStr">
        <is>
          <t>Ops</t>
        </is>
      </c>
      <c r="H181" s="38" t="inlineStr">
        <is>
          <t>P1</t>
        </is>
      </c>
      <c r="I181" s="10" t="n">
        <v>3</v>
      </c>
      <c r="J181" s="15" t="inlineStr"/>
      <c r="K181" s="10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2026-04-17T16:15:56Z</dcterms:created>
  <dcterms:modified xmlns:dcterms="http://purl.org/dc/terms/" xmlns:xsi="http://www.w3.org/2001/XMLSchema-instance" xsi:type="dcterms:W3CDTF">2026-04-17T16:15:56Z</dcterms:modified>
</cp:coreProperties>
</file>